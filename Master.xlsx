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monthly_summary" sheetId="2" r:id="rId6"/>
    <sheet state="visible" name="lookup_table" sheetId="3" r:id="rId7"/>
    <sheet state="visible" name="categories" sheetId="4" r:id="rId8"/>
    <sheet state="visible" name="dashboard" sheetId="5" r:id="rId9"/>
  </sheets>
  <definedNames>
    <definedName hidden="1" localSheetId="0" name="_xlnm._FilterDatabase">raw_data!$A$1:$H$1510</definedName>
    <definedName hidden="1" localSheetId="2" name="_xlnm._FilterDatabase">lookup_table!$A$1:$B$998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<sst xmlns="http://schemas.openxmlformats.org/spreadsheetml/2006/main" count="2796" uniqueCount="625">
  <si>
    <t>OLD_DATE</t>
  </si>
  <si>
    <t>date</t>
  </si>
  <si>
    <t>merchant</t>
  </si>
  <si>
    <t>amount</t>
  </si>
  <si>
    <t>original_category</t>
  </si>
  <si>
    <t>my_category</t>
  </si>
  <si>
    <t>source</t>
  </si>
  <si>
    <t>notes</t>
  </si>
  <si>
    <t>JOHNNY DELMONICO'S</t>
  </si>
  <si>
    <t>Restaurants</t>
  </si>
  <si>
    <t>Card1</t>
  </si>
  <si>
    <t>KWIK TRIP</t>
  </si>
  <si>
    <t>Gas / Fuel</t>
  </si>
  <si>
    <t>Bank2</t>
  </si>
  <si>
    <t>TARGET</t>
  </si>
  <si>
    <t>Shopping</t>
  </si>
  <si>
    <t>HAWKS BAR AND GRILL</t>
  </si>
  <si>
    <t>Dining Out</t>
  </si>
  <si>
    <t>CANTEEN VENDING LAC</t>
  </si>
  <si>
    <t>BP</t>
  </si>
  <si>
    <t>STARBUCKS</t>
  </si>
  <si>
    <t>Card2</t>
  </si>
  <si>
    <t xml:space="preserve">WALMART </t>
  </si>
  <si>
    <t>Grocery</t>
  </si>
  <si>
    <t>AMAZON MKTPL</t>
  </si>
  <si>
    <t>Merchandise</t>
  </si>
  <si>
    <t>Gas</t>
  </si>
  <si>
    <t>FLEET FARM</t>
  </si>
  <si>
    <t>Other</t>
  </si>
  <si>
    <t>AMERICAN FUNDS</t>
  </si>
  <si>
    <t>Financial &amp; Investment</t>
  </si>
  <si>
    <t>HUNTINGTON BANKS</t>
  </si>
  <si>
    <t>Auto Payment</t>
  </si>
  <si>
    <t>RILEYS WINES OF THE WORLD</t>
  </si>
  <si>
    <t>MADISON GAS &amp; ELECTRIC</t>
  </si>
  <si>
    <t>Services</t>
  </si>
  <si>
    <t>STATE FARM INSURANCE</t>
  </si>
  <si>
    <t>C&amp;J'S CANDY STORE &amp; SC</t>
  </si>
  <si>
    <t>STAR CUP</t>
  </si>
  <si>
    <t>MARKETPLACE FOODS</t>
  </si>
  <si>
    <t>Entertainment</t>
  </si>
  <si>
    <t>NORDSTROM</t>
  </si>
  <si>
    <t>Clothes &amp; Accessories</t>
  </si>
  <si>
    <t>PARAMOUNT+</t>
  </si>
  <si>
    <t>MIA</t>
  </si>
  <si>
    <t>Parking</t>
  </si>
  <si>
    <t>LAKE MCDONALD GENERAL STORE</t>
  </si>
  <si>
    <t>THE COOPERS TAVERN</t>
  </si>
  <si>
    <t>ALDI</t>
  </si>
  <si>
    <t>TRIANGLE MARKET</t>
  </si>
  <si>
    <t>Groceries</t>
  </si>
  <si>
    <t>KOHL'S</t>
  </si>
  <si>
    <t>MENS WEARHOUSE</t>
  </si>
  <si>
    <t>FAIR TRADE COFFEE HOUSE</t>
  </si>
  <si>
    <t>SUICA MOBILE PAYMENT</t>
  </si>
  <si>
    <t>JIFFY LUBE</t>
  </si>
  <si>
    <t>JIFFY LUBE (RETURN)</t>
  </si>
  <si>
    <t>Credit</t>
  </si>
  <si>
    <t>STEVE BROWN APARTMENTS</t>
  </si>
  <si>
    <t>Mortgage / Rent</t>
  </si>
  <si>
    <t>OLBRICH BOTANICAL</t>
  </si>
  <si>
    <t>Amusement</t>
  </si>
  <si>
    <t>HONEYCOMB SALON</t>
  </si>
  <si>
    <t>Transportation</t>
  </si>
  <si>
    <t>KLEINS FLORAL &amp; GREEN</t>
  </si>
  <si>
    <t>Home</t>
  </si>
  <si>
    <t>YELLOWSTONE FOREVER</t>
  </si>
  <si>
    <t>THEODORE ROOSEVELT</t>
  </si>
  <si>
    <t>TROPIC WATERS PET CENTER</t>
  </si>
  <si>
    <t>DAIRY QUEEN</t>
  </si>
  <si>
    <t>WHISKEY JACKS</t>
  </si>
  <si>
    <t>MTGARENA</t>
  </si>
  <si>
    <t>CULVERS</t>
  </si>
  <si>
    <t xml:space="preserve">MTGARENA </t>
  </si>
  <si>
    <t>TYROL BASIN SKI AREA</t>
  </si>
  <si>
    <t>GRAND TETON ASSOCIATION</t>
  </si>
  <si>
    <t>LASSEN ASSOCIATION</t>
  </si>
  <si>
    <t>YESWAY</t>
  </si>
  <si>
    <t>PILOT</t>
  </si>
  <si>
    <t>Utilities</t>
  </si>
  <si>
    <t>TII CUP UPTOWN</t>
  </si>
  <si>
    <t>GAMERS LIBRARY</t>
  </si>
  <si>
    <t>TACO BELL</t>
  </si>
  <si>
    <t>TROLLHAUGEN</t>
  </si>
  <si>
    <t>Supermarkets</t>
  </si>
  <si>
    <t>WOODMANS FOOD MARKET</t>
  </si>
  <si>
    <t>WITHDRAWAL</t>
  </si>
  <si>
    <t>Uncategorized</t>
  </si>
  <si>
    <t>THE PHOENIX TAPROOM</t>
  </si>
  <si>
    <t>THE RAW DEAL</t>
  </si>
  <si>
    <t>JP FRESH DOWNTOWN</t>
  </si>
  <si>
    <t>RICE PALACE</t>
  </si>
  <si>
    <t>STOP N SHOP</t>
  </si>
  <si>
    <t>THE HAUNTING EXPERIENCE</t>
  </si>
  <si>
    <t>SVDP WILLY STORE</t>
  </si>
  <si>
    <t>SHOWDOWNS RESTAURANT</t>
  </si>
  <si>
    <t>WANDOS</t>
  </si>
  <si>
    <t>STERLING COFFEE</t>
  </si>
  <si>
    <t>UW MADISON WISC UNION</t>
  </si>
  <si>
    <t>TOOT N TOTUM</t>
  </si>
  <si>
    <t>UNION 76</t>
  </si>
  <si>
    <t>THE RIGBY PUB</t>
  </si>
  <si>
    <t>TOPPERS PIZZA MENOMONIE</t>
  </si>
  <si>
    <t>NAF NAF GRILL</t>
  </si>
  <si>
    <t>Travel/ Entertainment</t>
  </si>
  <si>
    <t>RELEVANT COFFEE</t>
  </si>
  <si>
    <t>THE BUR OAK</t>
  </si>
  <si>
    <t>CASEY S</t>
  </si>
  <si>
    <t>CASEYS</t>
  </si>
  <si>
    <t>CENEX</t>
  </si>
  <si>
    <t>CONOCO</t>
  </si>
  <si>
    <t>MCDONALD'S</t>
  </si>
  <si>
    <t>SAVERS</t>
  </si>
  <si>
    <t>SCENTBIRD</t>
  </si>
  <si>
    <t>PHILLIPS 66</t>
  </si>
  <si>
    <t>CNHA - ARCHES NATIONAL</t>
  </si>
  <si>
    <t>Govt-services-parking</t>
  </si>
  <si>
    <t>LINCOLN NE 03/24/25 CTLP*Nebraska Commissi</t>
  </si>
  <si>
    <t>SAFEWAY</t>
  </si>
  <si>
    <t>TOWN &amp; COUNTRY FOODS</t>
  </si>
  <si>
    <t>REI.COM</t>
  </si>
  <si>
    <t>CIRCLE K</t>
  </si>
  <si>
    <t>TRADER JOES</t>
  </si>
  <si>
    <t>ZION NATIONAL PARK</t>
  </si>
  <si>
    <t>ABBEY PUB</t>
  </si>
  <si>
    <t>BEST WESTERN HOTELS</t>
  </si>
  <si>
    <t>Bryce Canyon Association Bryce UT</t>
  </si>
  <si>
    <t>FLYING J</t>
  </si>
  <si>
    <t>PAGE AZ 03/28/25 CITY OF PAGE HSB</t>
  </si>
  <si>
    <t>Vacation</t>
  </si>
  <si>
    <t>RECREATION.GOV</t>
  </si>
  <si>
    <t>KILLER BURGER</t>
  </si>
  <si>
    <t>KWIK STAR</t>
  </si>
  <si>
    <t>METEOR CRATER ENTERPRISE</t>
  </si>
  <si>
    <t>SUPER 7 INN</t>
  </si>
  <si>
    <t>LA HAVANA CABANA</t>
  </si>
  <si>
    <t>NOODLES &amp; CO</t>
  </si>
  <si>
    <t>PABLO CENTER</t>
  </si>
  <si>
    <t>NOBLE KNIGHT GAMES</t>
  </si>
  <si>
    <t>Hobbies</t>
  </si>
  <si>
    <t>UBER TRIP</t>
  </si>
  <si>
    <t>PARTHENON GYROS</t>
  </si>
  <si>
    <t>REEDSBURG WI 04/04/25 CTLP*WP BEVERAGES</t>
  </si>
  <si>
    <t>STRINGS RAMEN</t>
  </si>
  <si>
    <t>ROYAL MART</t>
  </si>
  <si>
    <t>CITY OF MADISON CITATION</t>
  </si>
  <si>
    <t>TAVERNAKAYA</t>
  </si>
  <si>
    <t>cinema</t>
  </si>
  <si>
    <t>Movies &amp; DVDs</t>
  </si>
  <si>
    <t>WICHITA KS 04/10/25 KTA CSC CALL CENTER</t>
  </si>
  <si>
    <t>PACOS TACOS</t>
  </si>
  <si>
    <t>THE BLUE DOOR PUB</t>
  </si>
  <si>
    <t>LUTHER FOODS</t>
  </si>
  <si>
    <t>WALMART</t>
  </si>
  <si>
    <t>PARKING UTILITY SMART M</t>
  </si>
  <si>
    <t>LUCETTE BREWING CO</t>
  </si>
  <si>
    <t>EUGSTERS FARM MARKET</t>
  </si>
  <si>
    <t>PAULS PEL'MENI</t>
  </si>
  <si>
    <t>LOS GEMELOS MEXICAN</t>
  </si>
  <si>
    <t>THE DOUBLE U</t>
  </si>
  <si>
    <t>JOHNSON PUBLIC HOUSE</t>
  </si>
  <si>
    <t>REPTILE RAPTURE</t>
  </si>
  <si>
    <t>CHASERS 2.0</t>
  </si>
  <si>
    <t>LOS GEMELOS MEXICAN RESTAURANT</t>
  </si>
  <si>
    <t>LARK TOYS</t>
  </si>
  <si>
    <t>NELSON CHEESE FACTORY</t>
  </si>
  <si>
    <t>GRANDMAS MARATHON</t>
  </si>
  <si>
    <t>Gasoline</t>
  </si>
  <si>
    <t>BLUEBERRY LINE COFFEE</t>
  </si>
  <si>
    <t>THE LIBRARY BAR AND CAFE</t>
  </si>
  <si>
    <t>AUDIBLE</t>
  </si>
  <si>
    <t>TACO JOHNS</t>
  </si>
  <si>
    <t>HIVE HOLLOW</t>
  </si>
  <si>
    <t>THE ORIGINAL COCINA</t>
  </si>
  <si>
    <t>SDOT PAYBYPHONE PARKING</t>
  </si>
  <si>
    <t>GRAHAMS AUTO &amp; TRUCK</t>
  </si>
  <si>
    <t>BUREAU OF PARKS</t>
  </si>
  <si>
    <t>PANERA BREAD</t>
  </si>
  <si>
    <t>WOODMANS GAS STATION</t>
  </si>
  <si>
    <t>MALL OF AMERICA</t>
  </si>
  <si>
    <t>VICTORS 1959 CAFE</t>
  </si>
  <si>
    <t>SAFEWAY FUEL</t>
  </si>
  <si>
    <t>ROYAL INDIAN CUISINE</t>
  </si>
  <si>
    <t>REI</t>
  </si>
  <si>
    <t>RUBY'S GENERAL STORE</t>
  </si>
  <si>
    <t>Cash &amp; ATM</t>
  </si>
  <si>
    <t>PAULS CLUB</t>
  </si>
  <si>
    <t>SEE TICKETS</t>
  </si>
  <si>
    <t>KAMOON ARABIAN CUISINE</t>
  </si>
  <si>
    <t>DULUTH ENTERTAINMENT CO</t>
  </si>
  <si>
    <t>Duluth MN 06/20/25 SQ *ONE MORE MILE</t>
  </si>
  <si>
    <t>REDWOOD PARKS CONSERVANCY</t>
  </si>
  <si>
    <t>FLEET FARM FUEL</t>
  </si>
  <si>
    <t>HOPE GOSPEL MISSION</t>
  </si>
  <si>
    <t>RAINBOW FOREST MUSEUM</t>
  </si>
  <si>
    <t>Alcohol</t>
  </si>
  <si>
    <t>USPS CHANGE OF ADDRESS</t>
  </si>
  <si>
    <t>Home Services</t>
  </si>
  <si>
    <t>SOTTO NIGHT CLUB</t>
  </si>
  <si>
    <t>OLD NAVY</t>
  </si>
  <si>
    <t>OLD FAITHFUL-UPPER STATION</t>
  </si>
  <si>
    <t>O'REILLY</t>
  </si>
  <si>
    <t>CARIBOU COFFEE</t>
  </si>
  <si>
    <t>ARCO</t>
  </si>
  <si>
    <t>HOLIDAY STATIONS</t>
  </si>
  <si>
    <t>JAMESTOWN I-94</t>
  </si>
  <si>
    <t>NOODLES AND COMPANY</t>
  </si>
  <si>
    <t>CUT BANK</t>
  </si>
  <si>
    <t>GNP CONSERVANCY</t>
  </si>
  <si>
    <t>WIND CAVE NATIONAL PARK</t>
  </si>
  <si>
    <t>LOVE'S</t>
  </si>
  <si>
    <t>GRANITE PARK CHALET</t>
  </si>
  <si>
    <t>RAISING CANES</t>
  </si>
  <si>
    <t>WISEGUY PIZZA PIE</t>
  </si>
  <si>
    <t>THE CORNER STORE BROWNING MT</t>
  </si>
  <si>
    <t>CENEx</t>
  </si>
  <si>
    <t>WESTSIDE TRUCK S MALTA MT</t>
  </si>
  <si>
    <t>MOX MANIA</t>
  </si>
  <si>
    <t>SHELL</t>
  </si>
  <si>
    <t>U-HAUL</t>
  </si>
  <si>
    <t>MOTEL 6</t>
  </si>
  <si>
    <t>MARATHON PETRO</t>
  </si>
  <si>
    <t>HARRYS</t>
  </si>
  <si>
    <t>GOODWILL</t>
  </si>
  <si>
    <t>ONSTREET</t>
  </si>
  <si>
    <t>MEXICAN TO THE BONE</t>
  </si>
  <si>
    <t>MICON CINEMAS</t>
  </si>
  <si>
    <t>MICHELANGELO'S COFFEEHOUSE</t>
  </si>
  <si>
    <t>MICHAEL DS EATERY</t>
  </si>
  <si>
    <t>EXXONMOBIL</t>
  </si>
  <si>
    <t>DIAMOND PARKING</t>
  </si>
  <si>
    <t>SHERMAN AVE COEUR D' ALE ID</t>
  </si>
  <si>
    <t>THE SOAP OPERA</t>
  </si>
  <si>
    <t>ASHFORD VALLEY STATE ROUTE US ASHFORD WA</t>
  </si>
  <si>
    <t>JACKSON VISITOR CENTER</t>
  </si>
  <si>
    <t>YAMATO SUSHI</t>
  </si>
  <si>
    <t>JUANITA'S MEXICAN</t>
  </si>
  <si>
    <t>SQ *FEIRO MARI 08/27/25 21:23 SQUARE PURCHASE PORT ANGELES WA</t>
  </si>
  <si>
    <t>SHOCKBYTE</t>
  </si>
  <si>
    <t>MARKET GRILL</t>
  </si>
  <si>
    <t>EVERGREEN 76</t>
  </si>
  <si>
    <t>SQ *RAIN FORES 08/29/25 22:44 SQUARE PURCHASE QUINAULT WA</t>
  </si>
  <si>
    <t>AMANDA PARK TRADING POST</t>
  </si>
  <si>
    <t>Automotive</t>
  </si>
  <si>
    <t>MAVERIK</t>
  </si>
  <si>
    <t>OLYMPIA WA 08/29/25 USDA FS AFM S-T NF</t>
  </si>
  <si>
    <t>MENOMONIE MARKET FOOD</t>
  </si>
  <si>
    <t>CHEVRON</t>
  </si>
  <si>
    <t>MEDORA CONVENIENCE STORE</t>
  </si>
  <si>
    <t>MCDONALDS</t>
  </si>
  <si>
    <t>MENOMONIE FAMILY RESTAURANT</t>
  </si>
  <si>
    <t>CC94</t>
  </si>
  <si>
    <t>PARKING KITTY</t>
  </si>
  <si>
    <t>MAIN ST MARKET</t>
  </si>
  <si>
    <t>PINEDA TACOS PLUS</t>
  </si>
  <si>
    <t>WENDY'S</t>
  </si>
  <si>
    <t>CRATER LAKE NATURAL HISTORY</t>
  </si>
  <si>
    <t>WINCO FOODS</t>
  </si>
  <si>
    <t>SPEEDWAY</t>
  </si>
  <si>
    <t xml:space="preserve">CHEVRON </t>
  </si>
  <si>
    <t>SQ *DISCOVER Y 09/08/25 22:02 SQUARE PURCHASE DAYVILLE OR</t>
  </si>
  <si>
    <t>HATT'S FUEL STOP</t>
  </si>
  <si>
    <t>POLITOS PIZZA</t>
  </si>
  <si>
    <t>GAS &amp; GRUB</t>
  </si>
  <si>
    <t>PRESHO OIL</t>
  </si>
  <si>
    <t>AMERICAN INDIAN PARK</t>
  </si>
  <si>
    <t>CRATERS OF THE MOON NATIONAL</t>
  </si>
  <si>
    <t>STAR GAS &amp; MART</t>
  </si>
  <si>
    <t>GRANT VILLAGE STATION</t>
  </si>
  <si>
    <t>OLD FAITHFUL UPPER BOZEMAN MT</t>
  </si>
  <si>
    <t>COMMON CENTS</t>
  </si>
  <si>
    <t>JENNY LAKE BOATING</t>
  </si>
  <si>
    <t>YELLOWSTONE</t>
  </si>
  <si>
    <t>DEVILS TOWER NATURAL HISTORY</t>
  </si>
  <si>
    <t>JEWEL CAVE NATIONAL MONUMENT</t>
  </si>
  <si>
    <t>ANTHOLOGY</t>
  </si>
  <si>
    <t>BADLANDS NATURAL HISTORY</t>
  </si>
  <si>
    <t>WSFERRIES WEB SALES</t>
  </si>
  <si>
    <t>CARHARTT RETAIL</t>
  </si>
  <si>
    <t>MINNEAPOLIS MN 09/19/25 UMINNRTH</t>
  </si>
  <si>
    <t>STONEFLY LOUNGE</t>
  </si>
  <si>
    <t>WEST GLACIER MERCANTILE</t>
  </si>
  <si>
    <t>JOE BROWNS</t>
  </si>
  <si>
    <t>JJ'S POKE</t>
  </si>
  <si>
    <t>TOWNPUMP</t>
  </si>
  <si>
    <t>WEST GLACIER SHIRT CO</t>
  </si>
  <si>
    <t>FESTIVAL FOODS</t>
  </si>
  <si>
    <t>SCHEELS EAU CLAIRE</t>
  </si>
  <si>
    <t>JERSEY MIKES</t>
  </si>
  <si>
    <t>COURT'N HOUSE BAR &amp; GRILL</t>
  </si>
  <si>
    <t>IN-N-OUT</t>
  </si>
  <si>
    <t>FIVE BELOW</t>
  </si>
  <si>
    <t>DUNKIN</t>
  </si>
  <si>
    <t>WHISKEY JACKS SALOON</t>
  </si>
  <si>
    <t>SHE-NANNIGANS</t>
  </si>
  <si>
    <t>Service &amp; Parts</t>
  </si>
  <si>
    <t>GENNAS COCKTAIL LOUNGE</t>
  </si>
  <si>
    <t>FIREHOUSE SUBS</t>
  </si>
  <si>
    <t>Food &amp; Dining</t>
  </si>
  <si>
    <t>ASICS TOKYO GINZA</t>
  </si>
  <si>
    <t>AIRALO</t>
  </si>
  <si>
    <t>GHIBLI PARK</t>
  </si>
  <si>
    <t>SVDP</t>
  </si>
  <si>
    <t>KIWAMI</t>
  </si>
  <si>
    <t>WEST GLACIER CAFE</t>
  </si>
  <si>
    <t>EL TACOTORRO DELI</t>
  </si>
  <si>
    <t>WIDOT</t>
  </si>
  <si>
    <t>Auto</t>
  </si>
  <si>
    <t>SERVATERIA</t>
  </si>
  <si>
    <t>DUNKIN DONUTS</t>
  </si>
  <si>
    <t>COMPASS COFFEE</t>
  </si>
  <si>
    <t>Bank1</t>
  </si>
  <si>
    <t>CONCOURSE HOTEL F&amp;B</t>
  </si>
  <si>
    <t>DAN &amp; LOUIS OYSTER BAR</t>
  </si>
  <si>
    <t>AUTOZONE</t>
  </si>
  <si>
    <t>ACOUSTIC CAFE</t>
  </si>
  <si>
    <t>EAU CLAIRE WI CITATION</t>
  </si>
  <si>
    <t>360TRAINING.COM</t>
  </si>
  <si>
    <t xml:space="preserve">CULVERS </t>
  </si>
  <si>
    <t>AXS.COM</t>
  </si>
  <si>
    <t>THE MINNESOTA ORCHESTRA</t>
  </si>
  <si>
    <t>NIKE</t>
  </si>
  <si>
    <t>DULUTH TRADING CO</t>
  </si>
  <si>
    <t>CHEWY.COM</t>
  </si>
  <si>
    <t>ANCORA COFFEE</t>
  </si>
  <si>
    <t>GOOGLE ONE</t>
  </si>
  <si>
    <t>REMITONLINECOM</t>
  </si>
  <si>
    <t>MPRB PARKING APP</t>
  </si>
  <si>
    <t>CITGO GRESHAM MINI M</t>
  </si>
  <si>
    <t>MICHAELS STORES</t>
  </si>
  <si>
    <t>CHIPOTLE</t>
  </si>
  <si>
    <t>W GLACIER SWEET TREATS</t>
  </si>
  <si>
    <t>CDA CLOTHING CO</t>
  </si>
  <si>
    <t>RAPID STOP</t>
  </si>
  <si>
    <t>BROADWAY BARBER CO</t>
  </si>
  <si>
    <t>Hubbard Avenue Diner</t>
  </si>
  <si>
    <t>HARBOR FREIGHT TOOLS</t>
  </si>
  <si>
    <t>DOLLAR TREE</t>
  </si>
  <si>
    <t>WALGREENS</t>
  </si>
  <si>
    <t>CHILIS</t>
  </si>
  <si>
    <t>KHAO MOO DANG</t>
  </si>
  <si>
    <t>TIPSY COW</t>
  </si>
  <si>
    <t>DISCOVER YOUR NORTHWEST</t>
  </si>
  <si>
    <t>ALTOONA FAMILY RESTAURANT</t>
  </si>
  <si>
    <t>HEMP HOUSE UPTOWN</t>
  </si>
  <si>
    <t>ESTACION INKA</t>
  </si>
  <si>
    <t>JALISCO COCINA MEXICANA</t>
  </si>
  <si>
    <t>WALL DRUG STORE</t>
  </si>
  <si>
    <t>SPOTHERO</t>
  </si>
  <si>
    <t>sum_of_amount</t>
  </si>
  <si>
    <t>count_of_transactions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</si>
  <si>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</si>
  <si>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</si>
  <si>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</si>
  <si>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</si>
  <si>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</si>
  <si>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</si>
  <si>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</si>
  <si>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</si>
  <si>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</si>
  <si>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</si>
  <si>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</si>
  <si>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</si>
  <si>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</si>
  <si>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</si>
  <si>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Grand Total</t>
  </si>
  <si>
    <t>Bills</t>
  </si>
  <si>
    <t>Subscriptions</t>
  </si>
  <si>
    <t>Travel</t>
  </si>
  <si>
    <t>Withdrawal</t>
  </si>
  <si>
    <t>Keyword</t>
  </si>
  <si>
    <t>Category</t>
  </si>
  <si>
    <t>american funds</t>
  </si>
  <si>
    <t>gas &amp; electric</t>
  </si>
  <si>
    <t>huntington</t>
  </si>
  <si>
    <t>state farm</t>
  </si>
  <si>
    <t>steve brown apartments</t>
  </si>
  <si>
    <t>usps</t>
  </si>
  <si>
    <t>acoustic</t>
  </si>
  <si>
    <t>brewing</t>
  </si>
  <si>
    <t>burger</t>
  </si>
  <si>
    <t>cafe</t>
  </si>
  <si>
    <t>caribou coffee</t>
  </si>
  <si>
    <t>chasers</t>
  </si>
  <si>
    <t>chilis</t>
  </si>
  <si>
    <t>chipotle</t>
  </si>
  <si>
    <t>cocina</t>
  </si>
  <si>
    <t>cocktail</t>
  </si>
  <si>
    <t>cof</t>
  </si>
  <si>
    <t>coffee</t>
  </si>
  <si>
    <t>cuisine</t>
  </si>
  <si>
    <t>culvers</t>
  </si>
  <si>
    <t>cup</t>
  </si>
  <si>
    <t>dairy queen</t>
  </si>
  <si>
    <t>dd/br</t>
  </si>
  <si>
    <t>delmonico</t>
  </si>
  <si>
    <t>diner</t>
  </si>
  <si>
    <t>double u</t>
  </si>
  <si>
    <t>dunkin</t>
  </si>
  <si>
    <t>eatery</t>
  </si>
  <si>
    <t>estacion inka</t>
  </si>
  <si>
    <t>family res</t>
  </si>
  <si>
    <t>firehouse</t>
  </si>
  <si>
    <t>grill</t>
  </si>
  <si>
    <t>gyros</t>
  </si>
  <si>
    <t>in-n-out</t>
  </si>
  <si>
    <t>jersey mikes</t>
  </si>
  <si>
    <t>joe browns</t>
  </si>
  <si>
    <t>johnson public house</t>
  </si>
  <si>
    <t>kamoon</t>
  </si>
  <si>
    <t>khao moo dang</t>
  </si>
  <si>
    <t>la havana cabana</t>
  </si>
  <si>
    <t>lounge</t>
  </si>
  <si>
    <t>luther foods</t>
  </si>
  <si>
    <t>mcdonald</t>
  </si>
  <si>
    <t>mcdonald’s</t>
  </si>
  <si>
    <t>mexican</t>
  </si>
  <si>
    <t>naf naf</t>
  </si>
  <si>
    <t>night club</t>
  </si>
  <si>
    <t>noodles</t>
  </si>
  <si>
    <t>oyster bar</t>
  </si>
  <si>
    <t>pablo center</t>
  </si>
  <si>
    <t>panera</t>
  </si>
  <si>
    <t>paul</t>
  </si>
  <si>
    <t>pie</t>
  </si>
  <si>
    <t>pizza</t>
  </si>
  <si>
    <t>poke</t>
  </si>
  <si>
    <t>pub</t>
  </si>
  <si>
    <t>raising canes</t>
  </si>
  <si>
    <t>ramen</t>
  </si>
  <si>
    <t>raw deal</t>
  </si>
  <si>
    <t>restaurant</t>
  </si>
  <si>
    <t>rice palace</t>
  </si>
  <si>
    <t>servateria</t>
  </si>
  <si>
    <t>she-nannigans</t>
  </si>
  <si>
    <t>starbucks</t>
  </si>
  <si>
    <t>sweet treat</t>
  </si>
  <si>
    <t>taco</t>
  </si>
  <si>
    <t>taproom</t>
  </si>
  <si>
    <t>tavern</t>
  </si>
  <si>
    <t>the bur oak</t>
  </si>
  <si>
    <t>tipsy cow</t>
  </si>
  <si>
    <t>toppers</t>
  </si>
  <si>
    <t>victors</t>
  </si>
  <si>
    <t>wall drug</t>
  </si>
  <si>
    <t>wandos</t>
  </si>
  <si>
    <t>wendy</t>
  </si>
  <si>
    <t>whiskey jacks</t>
  </si>
  <si>
    <t>wines of the wo</t>
  </si>
  <si>
    <t>yamato</t>
  </si>
  <si>
    <t>axs</t>
  </si>
  <si>
    <t>entertainment</t>
  </si>
  <si>
    <t>ghibli park</t>
  </si>
  <si>
    <t>grandma</t>
  </si>
  <si>
    <t>haunting exp</t>
  </si>
  <si>
    <t>mia</t>
  </si>
  <si>
    <t>mtgarena</t>
  </si>
  <si>
    <t>ONE MORE MILE</t>
  </si>
  <si>
    <t>orchestr</t>
  </si>
  <si>
    <t>tickets</t>
  </si>
  <si>
    <t>trollhaugen</t>
  </si>
  <si>
    <t>tyrol</t>
  </si>
  <si>
    <t>aldi</t>
  </si>
  <si>
    <t>candy store</t>
  </si>
  <si>
    <t>CORNER STORE</t>
  </si>
  <si>
    <t>festival foods</t>
  </si>
  <si>
    <t>grocery</t>
  </si>
  <si>
    <t>JP FRESH</t>
  </si>
  <si>
    <t>market</t>
  </si>
  <si>
    <t>medora convenience</t>
  </si>
  <si>
    <t>mercantil</t>
  </si>
  <si>
    <t>safeway</t>
  </si>
  <si>
    <t>stop n shop</t>
  </si>
  <si>
    <t>supercenter</t>
  </si>
  <si>
    <t>target</t>
  </si>
  <si>
    <t>town &amp; country foods</t>
  </si>
  <si>
    <t>trader joe</t>
  </si>
  <si>
    <t>walmart</t>
  </si>
  <si>
    <t>winco</t>
  </si>
  <si>
    <t>square</t>
  </si>
  <si>
    <t>venmo</t>
  </si>
  <si>
    <t>amazon</t>
  </si>
  <si>
    <t>anthology</t>
  </si>
  <si>
    <t>asics</t>
  </si>
  <si>
    <t>barber</t>
  </si>
  <si>
    <t>carhartt</t>
  </si>
  <si>
    <t>chewy</t>
  </si>
  <si>
    <t>clothing</t>
  </si>
  <si>
    <t>dollar tree</t>
  </si>
  <si>
    <t>duluth trading</t>
  </si>
  <si>
    <t>five below</t>
  </si>
  <si>
    <t>fleet farm</t>
  </si>
  <si>
    <t>gamers library</t>
  </si>
  <si>
    <t>general store</t>
  </si>
  <si>
    <t>goodwill</t>
  </si>
  <si>
    <t>harbor freight</t>
  </si>
  <si>
    <t>harrys</t>
  </si>
  <si>
    <t>hemp</t>
  </si>
  <si>
    <t>hive hollow</t>
  </si>
  <si>
    <t>honeycomb salo</t>
  </si>
  <si>
    <t>hope gospel</t>
  </si>
  <si>
    <t>kiwami</t>
  </si>
  <si>
    <t>kohl's</t>
  </si>
  <si>
    <t>lark toys</t>
  </si>
  <si>
    <t>mall of america</t>
  </si>
  <si>
    <t>michaels stores</t>
  </si>
  <si>
    <t>mox mania</t>
  </si>
  <si>
    <t>nike</t>
  </si>
  <si>
    <t>noble knight</t>
  </si>
  <si>
    <t>old navy</t>
  </si>
  <si>
    <t>rei</t>
  </si>
  <si>
    <t>reptile rapture</t>
  </si>
  <si>
    <t>savers</t>
  </si>
  <si>
    <t>scheels</t>
  </si>
  <si>
    <t>soap opera</t>
  </si>
  <si>
    <t>svdp</t>
  </si>
  <si>
    <t>tropic waters</t>
  </si>
  <si>
    <t>walgreens</t>
  </si>
  <si>
    <t>walmart store</t>
  </si>
  <si>
    <t>wisc union</t>
  </si>
  <si>
    <t>360training</t>
  </si>
  <si>
    <t>audible</t>
  </si>
  <si>
    <t>google one</t>
  </si>
  <si>
    <t>netflix</t>
  </si>
  <si>
    <t>paramount+</t>
  </si>
  <si>
    <t>scentbird</t>
  </si>
  <si>
    <t>shockbyte</t>
  </si>
  <si>
    <t>amanda park</t>
  </si>
  <si>
    <t>amoco</t>
  </si>
  <si>
    <t>arco</t>
  </si>
  <si>
    <t>auto &amp; truck</t>
  </si>
  <si>
    <t>autozone</t>
  </si>
  <si>
    <t>bp</t>
  </si>
  <si>
    <t>casey</t>
  </si>
  <si>
    <t>cc94</t>
  </si>
  <si>
    <t>cenex</t>
  </si>
  <si>
    <t>chevron</t>
  </si>
  <si>
    <t>circle k</t>
  </si>
  <si>
    <t>citation</t>
  </si>
  <si>
    <t>citgo</t>
  </si>
  <si>
    <t>common cents</t>
  </si>
  <si>
    <t>conoco</t>
  </si>
  <si>
    <t>cut bank</t>
  </si>
  <si>
    <t>exxonmobil</t>
  </si>
  <si>
    <t>ferries</t>
  </si>
  <si>
    <t>fleet farm cstore</t>
  </si>
  <si>
    <t>fleet farm fuel</t>
  </si>
  <si>
    <t>flying j</t>
  </si>
  <si>
    <t>fuel</t>
  </si>
  <si>
    <t>gas</t>
  </si>
  <si>
    <t>gas &amp; grub</t>
  </si>
  <si>
    <t>I-94</t>
  </si>
  <si>
    <t>jiffy lube</t>
  </si>
  <si>
    <t>KTA</t>
  </si>
  <si>
    <t>kwik</t>
  </si>
  <si>
    <t>love</t>
  </si>
  <si>
    <t>marathon</t>
  </si>
  <si>
    <t>maverik</t>
  </si>
  <si>
    <t>oil</t>
  </si>
  <si>
    <t>phillips 66</t>
  </si>
  <si>
    <t>pilot</t>
  </si>
  <si>
    <t>pump</t>
  </si>
  <si>
    <t>rapid stop</t>
  </si>
  <si>
    <t>reilly</t>
  </si>
  <si>
    <t>remitonlinecom</t>
  </si>
  <si>
    <t>shell</t>
  </si>
  <si>
    <t>sinclair</t>
  </si>
  <si>
    <t>speedway</t>
  </si>
  <si>
    <t>star gas</t>
  </si>
  <si>
    <t>station</t>
  </si>
  <si>
    <t>toot n totum</t>
  </si>
  <si>
    <t>uber</t>
  </si>
  <si>
    <t>union 76</t>
  </si>
  <si>
    <t>WESTSIDE TRUCK</t>
  </si>
  <si>
    <t>widot</t>
  </si>
  <si>
    <t>yesway</t>
  </si>
  <si>
    <t>airalo</t>
  </si>
  <si>
    <t>american indian</t>
  </si>
  <si>
    <t>badlands</t>
  </si>
  <si>
    <t>Bryce Canyon Association</t>
  </si>
  <si>
    <t>CITY OF PAGE HSB</t>
  </si>
  <si>
    <t>cnha</t>
  </si>
  <si>
    <t>crater lake</t>
  </si>
  <si>
    <t>craters of the moon</t>
  </si>
  <si>
    <t>devils tower</t>
  </si>
  <si>
    <t>discover your nort</t>
  </si>
  <si>
    <t>gnp conservancy</t>
  </si>
  <si>
    <t>grand teton ass</t>
  </si>
  <si>
    <t>granite park</t>
  </si>
  <si>
    <t>hotel</t>
  </si>
  <si>
    <t>inn</t>
  </si>
  <si>
    <t>jenny lake boating</t>
  </si>
  <si>
    <t>jewel cave</t>
  </si>
  <si>
    <t>lassen ass</t>
  </si>
  <si>
    <t>motel</t>
  </si>
  <si>
    <t>national par</t>
  </si>
  <si>
    <t>OLD FAITHFUL</t>
  </si>
  <si>
    <t>onstreet</t>
  </si>
  <si>
    <t>parking</t>
  </si>
  <si>
    <t>paybyphone</t>
  </si>
  <si>
    <t>rainbow forest</t>
  </si>
  <si>
    <t>recreation.gov</t>
  </si>
  <si>
    <t>redwood parks</t>
  </si>
  <si>
    <t>spothero</t>
  </si>
  <si>
    <t>suica</t>
  </si>
  <si>
    <t>theodore roosevelt</t>
  </si>
  <si>
    <t>u-haul</t>
  </si>
  <si>
    <t>visitor center</t>
  </si>
  <si>
    <t>west glacier</t>
  </si>
  <si>
    <t>yellowstone</t>
  </si>
  <si>
    <t>withdrawal</t>
  </si>
  <si>
    <t>description</t>
  </si>
  <si>
    <t>budget_monthly</t>
  </si>
  <si>
    <t>Supermarkets, food stores</t>
  </si>
  <si>
    <t>Restaurants, bars, coffee</t>
  </si>
  <si>
    <t>Gas, Uber, parking, car payment, insurance</t>
  </si>
  <si>
    <t>Netflix, Spotify, gym</t>
  </si>
  <si>
    <t>Doctors, pharmacy, insurance</t>
  </si>
  <si>
    <t>Rent, utilities, insurance</t>
  </si>
  <si>
    <t>Movies, concerts, hobbies</t>
  </si>
  <si>
    <t>Clothing, Amazon, misc</t>
  </si>
  <si>
    <t>Withdrawl</t>
  </si>
  <si>
    <t>ATM</t>
  </si>
  <si>
    <t>---</t>
  </si>
  <si>
    <t>Everything else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</si>
</sst>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&quot;-&quot;mm"/>
    <numFmt numFmtId="166" formatCode="m/d/yyyy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&quot;SFMono-Regular&quot;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Font="1"/>
    <xf borderId="0" fillId="0" fontId="1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vertical="bottom"/>
    </xf>
    <xf borderId="0" fillId="0" fontId="5" numFmtId="0" xfId="0" applyFont="1"/>
    <xf borderId="0" fillId="0" fontId="5" numFmtId="164" xfId="0" applyFont="1" applyNumberFormat="1"/>
    <xf borderId="0" fillId="0" fontId="5" numFmtId="164" xfId="0" applyAlignment="1" applyFont="1" applyNumberFormat="1">
      <alignment horizontal="left" shrinkToFit="0" vertical="center" wrapText="1"/>
    </xf>
    <xf borderId="1" fillId="2" fontId="5" numFmtId="164" xfId="0" applyBorder="1" applyFill="1" applyFont="1" applyNumberFormat="1"/>
    <xf borderId="2" fillId="2" fontId="5" numFmtId="164" xfId="0" applyBorder="1" applyFont="1" applyNumberFormat="1"/>
    <xf borderId="0" fillId="0" fontId="5" numFmtId="49" xfId="0" applyAlignment="1" applyFont="1" applyNumberFormat="1">
      <alignment horizontal="right"/>
    </xf>
    <xf borderId="3" fillId="0" fontId="5" numFmtId="164" xfId="0" applyBorder="1" applyFont="1" applyNumberFormat="1"/>
    <xf borderId="4" fillId="0" fontId="5" numFmtId="164" xfId="0" applyBorder="1" applyFont="1" applyNumberFormat="1"/>
    <xf borderId="5" fillId="0" fontId="5" numFmtId="0" xfId="0" applyBorder="1" applyFont="1"/>
    <xf borderId="6" fillId="0" fontId="5" numFmtId="164" xfId="0" applyBorder="1" applyFont="1" applyNumberFormat="1"/>
    <xf borderId="0" fillId="0" fontId="5" numFmtId="164" xfId="0" applyAlignment="1" applyFont="1" applyNumberForma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10"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theme="1"/>
      </font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H756" sheet="raw_data"/>
  </cacheSource>
  <cacheFields>
    <cacheField name="date" numFmtId="0">
      <sharedItems>
        <s v="2025-02"/>
        <s v="2025-01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</sharedItems>
    </cacheField>
    <cacheField name="merchant">
      <sharedItems containsMixedTypes="1" containsNumber="1" containsInteger="1">
        <s v="JOHNNY DELMONICO'S"/>
        <s v="KWIK TRIP"/>
        <s v="TARGET"/>
        <s v="HAWKS BAR AND GRILL"/>
        <s v="CANTEEN VENDING LAC"/>
        <s v="BP"/>
        <s v="STARBUCKS"/>
        <s v="WALMART "/>
        <s v="AMAZON MKTPL"/>
        <s v="FLEET FARM"/>
        <s v="AMERICAN FUNDS"/>
        <s v="HUNTINGTON BANKS"/>
        <s v="RILEYS WINES OF THE WORLD"/>
        <s v="MADISON GAS &amp; ELECTRIC"/>
        <s v="STATE FARM INSURANCE"/>
        <s v="C&amp;J'S CANDY STORE &amp; SC"/>
        <s v="STAR CUP"/>
        <s v="MARKETPLACE FOODS"/>
        <s v="NORDSTROM"/>
        <s v="PARAMOUNT+"/>
        <s v="MIA"/>
        <s v="LAKE MCDONALD GENERAL STORE"/>
        <s v="THE COOPERS TAVERN"/>
        <s v="ALDI"/>
        <s v="TRIANGLE MARKET"/>
        <s v="KOHL'S"/>
        <s v="MENS WEARHOUSE"/>
        <s v="FAIR TRADE COFFEE HOUSE"/>
        <s v="SUICA MOBILE PAYMENT"/>
        <s v="JIFFY LUBE"/>
        <s v="JIFFY LUBE (RETURN)"/>
        <s v="STEVE BROWN APARTMENTS"/>
        <s v="OLBRICH BOTANICAL"/>
        <s v="HONEYCOMB SALON"/>
        <s v="KLEINS FLORAL &amp; GREEN"/>
        <s v="YELLOWSTONE FOREVER"/>
        <s v="THEODORE ROOSEVELT"/>
        <s v="TROPIC WATERS PET CENTER"/>
        <s v="DAIRY QUEEN"/>
        <s v="WHISKEY JACKS"/>
        <s v="MTGARENA"/>
        <s v="CULVERS"/>
        <s v="MTGARENA "/>
        <s v="TYROL BASIN SKI AREA"/>
        <s v="GRAND TETON ASSOCIATION"/>
        <s v="LASSEN ASSOCIATION"/>
        <s v="YESWAY"/>
        <s v="PILOT"/>
        <s v="TII CUP UPTOWN"/>
        <s v="GAMERS LIBRARY"/>
        <s v="TACO BELL"/>
        <s v="TROLLHAUGEN"/>
        <s v="WOODMANS FOOD MARKET"/>
        <s v="WITHDRAWAL"/>
        <s v="THE PHOENIX TAPROOM"/>
        <s v="THE RAW DEAL"/>
        <s v="JP FRESH DOWNTOWN"/>
        <s v="RICE PALACE"/>
        <s v="STOP N SHOP"/>
        <s v="THE HAUNTING EXPERIENCE"/>
        <s v="SVDP WILLY STORE"/>
        <s v="SHOWDOWNS RESTAURANT"/>
        <s v="WANDOS"/>
        <s v="STERLING COFFEE"/>
        <s v="UW MADISON WISC UNION"/>
        <s v="TOOT N TOTUM"/>
        <s v="UNION 76"/>
        <s v="THE RIGBY PUB"/>
        <s v="TOPPERS PIZZA MENOMONIE"/>
        <s v="NAF NAF GRILL"/>
        <s v="RELEVANT COFFEE"/>
        <s v="THE BUR OAK"/>
        <s v="CASEY S"/>
        <s v="CASEYS"/>
        <s v="CENEX"/>
        <s v="CONOCO"/>
        <s v="MCDONALD'S"/>
        <s v="SAVERS"/>
        <s v="SCENTBIRD"/>
        <s v="PHILLIPS 66"/>
        <s v="CNHA - ARCHES NATIONAL"/>
        <s v="LINCOLN NE 03/24/25 CTLP*Nebraska Commissi"/>
        <s v="SAFEWAY"/>
        <s v="TOWN &amp; COUNTRY FOODS"/>
        <s v="REI.COM"/>
        <s v="CIRCLE K"/>
        <s v="TRADER JOES"/>
        <s v="ZION NATIONAL PARK"/>
        <s v="ABBEY PUB"/>
        <s v="BEST WESTERN HOTELS"/>
        <s v="Bryce Canyon Association Bryce UT"/>
        <s v="FLYING J"/>
        <s v="PAGE AZ 03/28/25 CITY OF PAGE HSB"/>
        <s v="RECREATION.GOV"/>
        <s v="KILLER BURGER"/>
        <s v="KWIK STAR"/>
        <s v="METEOR CRATER ENTERPRISE"/>
        <s v="SUPER 7 INN"/>
        <s v="LA HAVANA CABANA"/>
        <s v="NOODLES &amp; CO"/>
        <s v="PABLO CENTER"/>
        <s v="NOBLE KNIGHT GAMES"/>
        <s v="UBER TRIP"/>
        <s v="PARTHENON GYROS"/>
        <s v="REEDSBURG WI 04/04/25 CTLP*WP BEVERAGES"/>
        <s v="STRINGS RAMEN"/>
        <s v="ROYAL MART"/>
        <s v="CITY OF MADISON CITATION"/>
        <s v="TAVERNAKAYA"/>
        <s v="cinema"/>
        <s v="WICHITA KS 04/10/25 KTA CSC CALL CENTER"/>
        <s v="PACOS TACOS"/>
        <s v="THE BLUE DOOR PUB"/>
        <s v="LUTHER FOODS"/>
        <s v="WALMART"/>
        <s v="PARKING UTILITY SMART M"/>
        <s v="LUCETTE BREWING CO"/>
        <s v="EUGSTERS FARM MARKET"/>
        <s v="PAULS PEL'MENI"/>
        <s v="LOS GEMELOS MEXICAN"/>
        <s v="THE DOUBLE U"/>
        <s v="JOHNSON PUBLIC HOUSE"/>
        <s v="REPTILE RAPTURE"/>
        <s v="CHASERS 2.0"/>
        <s v="LOS GEMELOS MEXICAN RESTAURANT"/>
        <s v="LARK TOYS"/>
        <s v="NELSON CHEESE FACTORY"/>
        <s v="GRANDMAS MARATHON"/>
        <s v="BLUEBERRY LINE COFFEE"/>
        <s v="THE LIBRARY BAR AND CAFE"/>
        <s v="AUDIBLE"/>
        <s v="TACO JOHNS"/>
        <s v="HIVE HOLLOW"/>
        <s v="THE ORIGINAL COCINA"/>
        <s v="SDOT PAYBYPHONE PARKING"/>
        <s v="GRAHAMS AUTO &amp; TRUCK"/>
        <s v="BUREAU OF PARKS"/>
        <s v="PANERA BREAD"/>
        <s v="WOODMANS GAS STATION"/>
        <s v="MALL OF AMERICA"/>
        <s v="VICTORS 1959 CAFE"/>
        <s v="SAFEWAY FUEL"/>
        <s v="ROYAL INDIAN CUISINE"/>
        <s v="REI"/>
        <s v="RUBY'S GENERAL STORE"/>
        <s v="PAULS CLUB"/>
        <s v="SEE TICKETS"/>
        <s v="KAMOON ARABIAN CUISINE"/>
        <s v="DULUTH ENTERTAINMENT CO"/>
        <s v="Duluth MN 06/20/25 SQ *ONE MORE MILE"/>
        <s v="REDWOOD PARKS CONSERVANCY"/>
        <s v="FLEET FARM FUEL"/>
        <s v="HOPE GOSPEL MISSION"/>
        <s v="RAINBOW FOREST MUSEUM"/>
        <s v="USPS CHANGE OF ADDRESS"/>
        <s v="SOTTO NIGHT CLUB"/>
        <s v="OLD NAVY"/>
        <s v="OLD FAITHFUL-UPPER STATION"/>
        <s v="O'REILLY"/>
        <s v="CARIBOU COFFEE"/>
        <s v="ARCO"/>
        <s v="HOLIDAY STATIONS"/>
        <s v="JAMESTOWN I-94"/>
        <s v="NOODLES AND COMPANY"/>
        <s v="CUT BANK"/>
        <s v="GNP CONSERVANCY"/>
        <s v="WIND CAVE NATIONAL PARK"/>
        <s v="LOVE'S"/>
        <s v="GRANITE PARK CHALET"/>
        <s v="RAISING CANES"/>
        <s v="WISEGUY PIZZA PIE"/>
        <s v="THE CORNER STORE BROWNING MT"/>
        <s v="WESTSIDE TRUCK S MALTA MT"/>
        <s v="MOX MANIA"/>
        <s v="SHELL"/>
        <s v="U-HAUL"/>
        <s v="MOTEL 6"/>
        <s v="MARATHON PETRO"/>
        <s v="HARRYS"/>
        <s v="GOODWILL"/>
        <s v="ONSTREET"/>
        <s v="MEXICAN TO THE BONE"/>
        <s v="MICON CINEMAS"/>
        <s v="MICHELANGELO'S COFFEEHOUSE"/>
        <s v="MICHAEL DS EATERY"/>
        <s v="EXXONMOBIL"/>
        <s v="DIAMOND PARKING"/>
        <s v="SHERMAN AVE COEUR D' ALE ID"/>
        <s v="THE SOAP OPERA"/>
        <n v="76.0"/>
        <s v="ASHFORD VALLEY STATE ROUTE US ASHFORD WA"/>
        <s v="JACKSON VISITOR CENTER"/>
        <s v="YAMATO SUSHI"/>
        <s v="JUANITA'S MEXICAN"/>
        <s v="SQ *FEIRO MARI 08/27/25 21:23 SQUARE PURCHASE PORT ANGELES WA"/>
        <s v="SHOCKBYTE"/>
        <s v="MARKET GRILL"/>
        <s v="EVERGREEN 76"/>
        <s v="SQ *RAIN FORES 08/29/25 22:44 SQUARE PURCHASE QUINAULT WA"/>
        <s v="AMANDA PARK TRADING POST"/>
        <s v="MAVERIK"/>
        <s v="OLYMPIA WA 08/29/25 USDA FS AFM S-T NF"/>
        <s v="MENOMONIE MARKET FOOD"/>
        <s v="CHEVRON"/>
        <s v="MEDORA CONVENIENCE STORE"/>
        <s v="MCDONALDS"/>
        <s v="MENOMONIE FAMILY RESTAURANT"/>
        <s v="CC94"/>
        <s v="PARKING KITTY"/>
        <s v="MAIN ST MARKET"/>
        <s v="PINEDA TACOS PLUS"/>
        <s v="WENDY'S"/>
        <s v="CRATER LAKE NATURAL HISTORY"/>
        <s v="WINCO FOODS"/>
        <s v="SPEEDWAY"/>
        <s v="CHEVRON "/>
        <s v="SQ *DISCOVER Y 09/08/25 22:02 SQUARE PURCHASE DAYVILLE OR"/>
        <s v="HATT'S FUEL STOP"/>
        <s v="POLITOS PIZZA"/>
        <s v="GAS &amp; GRUB"/>
        <s v="PRESHO OIL"/>
        <s v="AMERICAN INDIAN PARK"/>
        <s v="CRATERS OF THE MOON NATIONAL"/>
        <s v="STAR GAS &amp; MART"/>
        <s v="GRANT VILLAGE STATION"/>
        <s v="OLD FAITHFUL UPPER BOZEMAN MT"/>
        <s v="COMMON CENTS"/>
        <s v="JENNY LAKE BOATING"/>
        <s v="YELLOWSTONE"/>
        <s v="DEVILS TOWER NATURAL HISTORY"/>
        <s v="JEWEL CAVE NATIONAL MONUMENT"/>
        <s v="ANTHOLOGY"/>
        <s v="BADLANDS NATURAL HISTORY"/>
        <s v="WSFERRIES WEB SALES"/>
        <s v="CARHARTT RETAIL"/>
        <s v="MINNEAPOLIS MN 09/19/25 UMINNRTH"/>
        <s v="STONEFLY LOUNGE"/>
        <s v="WEST GLACIER MERCANTILE"/>
        <s v="JOE BROWNS"/>
        <s v="JJ'S POKE"/>
        <s v="TOWNPUMP"/>
        <s v="WEST GLACIER SHIRT CO"/>
        <s v="FESTIVAL FOODS"/>
        <s v="SCHEELS EAU CLAIRE"/>
        <s v="JERSEY MIKES"/>
        <s v="COURT'N HOUSE BAR &amp; GRILL"/>
        <s v="IN-N-OUT"/>
        <s v="FIVE BELOW"/>
        <s v="DUNKIN"/>
        <s v="WHISKEY JACKS SALOON"/>
        <s v="SHE-NANNIGANS"/>
        <s v="GENNAS COCKTAIL LOUNGE"/>
        <s v="FIREHOUSE SUBS"/>
        <s v="ASICS TOKYO GINZA"/>
        <s v="AIRALO"/>
        <s v="GHIBLI PARK"/>
        <s v="SVDP"/>
        <s v="KIWAMI"/>
        <s v="WEST GLACIER CAFE"/>
        <s v="EL TACOTORRO DELI"/>
        <s v="WIDOT"/>
        <s v="SERVATERIA"/>
        <s v="DUNKIN DONUTS"/>
        <s v="COMPASS COFFEE"/>
        <s v="CONCOURSE HOTEL F&amp;B"/>
        <s v="DAN &amp; LOUIS OYSTER BAR"/>
        <s v="AUTOZONE"/>
        <s v="ACOUSTIC CAFE"/>
        <s v="EAU CLAIRE WI CITATION"/>
        <s v="360TRAINING.COM"/>
        <s v="CULVERS "/>
        <s v="AXS.COM"/>
        <s v="THE MINNESOTA ORCHESTRA"/>
        <s v="NIKE"/>
        <s v="DULUTH TRADING CO"/>
        <s v="CHEWY.COM"/>
        <s v="ANCORA COFFEE"/>
        <s v="GOOGLE ONE"/>
        <s v="REMITONLINECOM"/>
        <s v="MPRB PARKING APP"/>
        <s v="CITGO GRESHAM MINI M"/>
        <s v="MICHAELS STORES"/>
        <s v="CHIPOTLE"/>
        <s v="W GLACIER SWEET TREATS"/>
        <s v="CDA CLOTHING CO"/>
        <s v="RAPID STOP"/>
        <s v="BROADWAY BARBER CO"/>
        <s v="Hubbard Avenue Diner"/>
        <s v="HARBOR FREIGHT TOOLS"/>
        <s v="DOLLAR TREE"/>
        <s v="WALGREENS"/>
        <s v="CHILIS"/>
        <s v="KHAO MOO DANG"/>
        <s v="TIPSY COW"/>
        <s v="DISCOVER YOUR NORTHWEST"/>
        <s v="ALTOONA FAMILY RESTAURANT"/>
        <s v="HEMP HOUSE UPTOWN"/>
        <s v="ESTACION INKA"/>
        <s v="JALISCO COCINA MEXICANA"/>
        <s v="WALL DRUG STORE"/>
        <s v="SPOTHERO"/>
      </sharedItems>
    </cacheField>
    <cacheField name="amount" numFmtId="164">
      <sharedItems containsSemiMixedTypes="0" containsString="0" containsNumber="1">
        <n v="434.92"/>
        <n v="8.31"/>
        <n v="6.33"/>
        <n v="5.16"/>
        <n v="5.93"/>
        <n v="4.21"/>
        <n v="2.25"/>
        <n v="6.52"/>
        <n v="16.13"/>
        <n v="74.42"/>
        <n v="9.08"/>
        <n v="43.57"/>
        <n v="14.75"/>
        <n v="50.0"/>
        <n v="346.3"/>
        <n v="10.01"/>
        <n v="9.15"/>
        <n v="44.31"/>
        <n v="286.24"/>
        <n v="8.25"/>
        <n v="29.63"/>
        <n v="5.5"/>
        <n v="16.55"/>
        <n v="9.51"/>
        <n v="198.0"/>
        <n v="53.37"/>
        <n v="42.2"/>
        <n v="18.0"/>
        <n v="34.9"/>
        <n v="70.25"/>
        <n v="38.99"/>
        <n v="3.82"/>
        <n v="42.19"/>
        <n v="40.09"/>
        <n v="4.27"/>
        <n v="5.55"/>
        <n v="82.37"/>
        <n v="92.92"/>
        <n v="15.46"/>
        <n v="872.5"/>
        <n v="4.12"/>
        <n v="20.0"/>
        <n v="12.03"/>
        <n v="20.96"/>
        <n v="22.94"/>
        <n v="5.22"/>
        <n v="25.32"/>
        <n v="14.41"/>
        <n v="104.0"/>
        <n v="26.38"/>
        <n v="60.46"/>
        <n v="2.42"/>
        <n v="8.24"/>
        <n v="5.27"/>
        <n v="11.17"/>
        <n v="25.75"/>
        <n v="12.66"/>
        <n v="13.72"/>
        <n v="42.46"/>
        <n v="38.35"/>
        <n v="10.54"/>
        <n v="4.74"/>
        <n v="15.0"/>
        <n v="39.95"/>
        <n v="57.97"/>
        <n v="18.99"/>
        <n v="29.1"/>
        <n v="33.31"/>
        <n v="9.26"/>
        <n v="9.5"/>
        <n v="7.6"/>
        <n v="44.85"/>
        <n v="21.07"/>
        <n v="12.45"/>
        <n v="22.5"/>
        <n v="9.48"/>
        <n v="14.74"/>
        <n v="5.78"/>
        <n v="339.35"/>
        <n v="15.81"/>
        <n v="82.69"/>
        <n v="1.89"/>
        <n v="21.09"/>
        <n v="7.39"/>
        <n v="4.35"/>
        <n v="36.93"/>
        <n v="30.64"/>
        <n v="6.12"/>
        <n v="29.2"/>
        <n v="2.39"/>
        <n v="30.23"/>
        <n v="6.2"/>
        <n v="25.31"/>
        <n v="28.0"/>
        <n v="14.96"/>
        <n v="58.82"/>
        <n v="13.96"/>
        <n v="14.98"/>
        <n v="7.9"/>
        <n v="13.44"/>
        <n v="7.24"/>
        <n v="16.86"/>
        <n v="49.17"/>
        <n v="29.14"/>
        <n v="70.98"/>
        <n v="69.0"/>
        <n v="5.0"/>
        <n v="7.0"/>
        <n v="30.13"/>
        <n v="5.3"/>
        <n v="48.52"/>
        <n v="3.0"/>
        <n v="42.34"/>
        <n v="17.58"/>
        <n v="23.37"/>
        <n v="3.09"/>
        <n v="45.69"/>
        <n v="2.47"/>
        <n v="45.0"/>
        <n v="83.0"/>
        <n v="8.83"/>
        <n v="55.18"/>
        <n v="6.0"/>
        <n v="30.15"/>
        <n v="59.49"/>
        <n v="9.69"/>
        <n v="16.22"/>
        <n v="10.98"/>
        <n v="7.05"/>
        <n v="48.18"/>
        <n v="167.56"/>
        <n v="10.65"/>
        <n v="21.24"/>
        <n v="30.0"/>
        <n v="37.08"/>
        <n v="2.9"/>
        <n v="10.0"/>
        <n v="11.0"/>
        <n v="17.13"/>
        <n v="36.46"/>
        <n v="1.52"/>
        <n v="5.1"/>
        <n v="43.49"/>
        <n v="8.33"/>
        <n v="36.71"/>
        <n v="29.0"/>
        <n v="55.32"/>
        <n v="6.42"/>
        <n v="48.34"/>
        <n v="109.07"/>
        <n v="9.71"/>
        <n v="29.07"/>
        <n v="41.39"/>
        <n v="4.17"/>
        <n v="16.92"/>
        <n v="15.97"/>
        <n v="75.29"/>
        <n v="34.45"/>
        <n v="248.08"/>
        <n v="14.76"/>
        <n v="61.15"/>
        <n v="26.01"/>
        <n v="7.1"/>
        <n v="12.5"/>
        <n v="17.0"/>
        <n v="45.59"/>
        <n v="64.17"/>
        <n v="3.57"/>
        <n v="10.32"/>
        <n v="7.26"/>
        <n v="1.0"/>
        <n v="1.75"/>
        <n v="29.49"/>
        <n v="63.68"/>
        <n v="22.84"/>
        <n v="29.5"/>
        <n v="20.73"/>
        <n v="14.23"/>
        <n v="59.53"/>
        <n v="5.71"/>
        <n v="8.43"/>
        <n v="6.53"/>
        <n v="21.72"/>
        <n v="32.71"/>
        <n v="13.34"/>
        <n v="8.32"/>
        <n v="3.37"/>
        <n v="151.62"/>
        <n v="6.01"/>
        <n v="21.68"/>
        <n v="81.44"/>
        <n v="2.5"/>
        <n v="89.68"/>
        <n v="14.0"/>
        <n v="25.3"/>
        <n v="29.37"/>
        <n v="15.77"/>
        <n v="38.72"/>
        <n v="13.01"/>
        <n v="77.1"/>
        <n v="31.16"/>
        <n v="16.34"/>
        <n v="5.15"/>
        <n v="12.0"/>
        <n v="11.36"/>
        <n v="3.67"/>
        <n v="8.93"/>
        <n v="625.15"/>
        <n v="200.0"/>
        <n v="70.6"/>
        <n v="19.75"/>
        <n v="47.76"/>
        <n v="19.34"/>
        <n v="63.28"/>
        <n v="13.39"/>
        <n v="56.11"/>
        <n v="33.18"/>
        <n v="15.98"/>
        <n v="102.94"/>
        <n v="36.77"/>
        <n v="17.4"/>
        <n v="60.71"/>
        <n v="61.28"/>
        <n v="17.57"/>
        <n v="40.03"/>
        <n v="14.8"/>
        <n v="40.58"/>
        <n v="20.99"/>
        <n v="13.59"/>
        <n v="38.43"/>
        <n v="14.48"/>
        <n v="17.88"/>
        <n v="23.0"/>
        <n v="53.36"/>
        <n v="35.46"/>
        <n v="9.44"/>
        <n v="40.75"/>
        <n v="4.36"/>
        <n v="13.38"/>
        <n v="33.15"/>
        <n v="32.66"/>
        <n v="12.88"/>
        <n v="29.51"/>
        <n v="123.36"/>
        <n v="5.26"/>
        <n v="9.19"/>
        <n v="59.84"/>
        <n v="11.45"/>
        <n v="10.83"/>
        <n v="12.49"/>
        <n v="55.53"/>
        <n v="39.0"/>
        <n v="36.33"/>
        <n v="11.04"/>
        <n v="7.36"/>
        <n v="1.1"/>
        <n v="34.16"/>
        <n v="6.64"/>
        <n v="80.89"/>
        <n v="15.31"/>
        <n v="8.97"/>
        <n v="11.5"/>
        <n v="43.24"/>
        <n v="8.59"/>
        <n v="12.4"/>
        <n v="8.29"/>
        <n v="5.01"/>
        <n v="12.74"/>
        <n v="11.61"/>
        <n v="119.05"/>
        <n v="49.6"/>
        <n v="44.04"/>
        <n v="8.18"/>
        <n v="0.8"/>
        <n v="44.66"/>
        <n v="1.6"/>
        <n v="11.31"/>
        <n v="29.25"/>
        <n v="20.42"/>
        <n v="36.98"/>
        <n v="0.25"/>
        <n v="9.28"/>
        <n v="17.66"/>
        <n v="2.0"/>
        <n v="12.54"/>
        <n v="36.38"/>
        <n v="8.91"/>
        <n v="9.0"/>
        <n v="48.0"/>
        <n v="98.61"/>
        <n v="2.49"/>
        <n v="14.09"/>
        <n v="1.99"/>
        <n v="42.96"/>
        <n v="3.75"/>
        <n v="11.8"/>
        <n v="10.71"/>
        <n v="10.74"/>
        <n v="31.43"/>
        <n v="42.23"/>
        <n v="37.82"/>
        <n v="2.35"/>
        <n v="29.17"/>
        <n v="59.86"/>
        <n v="16.45"/>
        <n v="20.75"/>
        <n v="22.0"/>
        <n v="33.11"/>
        <n v="73.85"/>
        <n v="15.51"/>
        <n v="3.04"/>
        <n v="82.57"/>
        <n v="83.13"/>
        <n v="33.61"/>
        <n v="8.44"/>
        <n v="20.44"/>
        <n v="25.9"/>
        <n v="14.21"/>
        <n v="12.87"/>
        <n v="84.15"/>
        <n v="4.2"/>
        <n v="18.98"/>
        <n v="67.22"/>
        <n v="61.3"/>
        <n v="55.22"/>
        <n v="11.96"/>
        <n v="2.79"/>
        <n v="55.56"/>
        <n v="10.61"/>
        <n v="31.67"/>
        <n v="33.45"/>
        <n v="2.99"/>
        <n v="45.85"/>
        <n v="36.19"/>
        <n v="14.78"/>
        <n v="32.65"/>
        <n v="56.1"/>
        <n v="3.99"/>
        <n v="0.5"/>
        <n v="33.94"/>
        <n v="39.72"/>
        <n v="38.58"/>
        <n v="36.47"/>
        <n v="2.29"/>
        <n v="10.59"/>
        <n v="7.76"/>
        <n v="37.1"/>
        <n v="14.39"/>
        <n v="9.6"/>
        <n v="15.12"/>
        <n v="4.99"/>
        <n v="11.88"/>
        <n v="23.2"/>
        <n v="11.91"/>
        <n v="36.12"/>
        <n v="8.27"/>
        <n v="6.5"/>
        <n v="13.37"/>
        <n v="60.01"/>
        <n v="26.33"/>
        <n v="2.88"/>
        <n v="67.89"/>
        <n v="184.83"/>
        <n v="5.48"/>
        <n v="5.24"/>
        <n v="1.39"/>
        <n v="5.44"/>
        <n v="7.98"/>
        <n v="6.85"/>
        <n v="22.77"/>
        <n v="8.15"/>
        <n v="5.69"/>
        <n v="26.81"/>
        <n v="40.0"/>
        <n v="4.5"/>
        <n v="60.79"/>
        <n v="8.26"/>
        <n v="3.79"/>
        <n v="14.25"/>
        <n v="9.02"/>
        <n v="11.94"/>
        <n v="12.85"/>
        <n v="12.69"/>
        <n v="5.79"/>
        <n v="28.82"/>
        <n v="3.25"/>
        <n v="65.04"/>
        <n v="6.58"/>
        <n v="5.95"/>
        <n v="67.68"/>
        <n v="11.63"/>
        <n v="12.47"/>
        <n v="31.12"/>
        <n v="8.79"/>
        <n v="35.0"/>
        <n v="13.19"/>
        <n v="13.9"/>
        <n v="11.75"/>
        <n v="11.32"/>
        <n v="57.43"/>
        <n v="10.7"/>
        <n v="6.43"/>
        <n v="38.82"/>
        <n v="5.83"/>
        <n v="7.92"/>
        <n v="27.89"/>
        <n v="2.72"/>
        <n v="15.49"/>
        <n v="9.43"/>
        <n v="7.38"/>
        <n v="16.0"/>
        <n v="9.68"/>
        <n v="51.06"/>
        <n v="15.85"/>
        <n v="53.51"/>
        <n v="9.79"/>
        <n v="3.19"/>
        <n v="52.74"/>
        <n v="29.87"/>
        <n v="7.89"/>
        <n v="62.0"/>
        <n v="109.98"/>
        <n v="43.79"/>
        <n v="18.66"/>
        <n v="27.0"/>
        <n v="9.98"/>
        <n v="15.01"/>
        <n v="3.68"/>
        <n v="16.51"/>
        <n v="155.0"/>
        <n v="14.71"/>
        <n v="5.32"/>
        <n v="2.52"/>
        <n v="44.65"/>
        <n v="6.71"/>
        <n v="28.01"/>
        <n v="29.29"/>
        <n v="75.68"/>
        <n v="21.8"/>
        <n v="44.27"/>
        <n v="50.62"/>
        <n v="10.77"/>
        <n v="15.66"/>
        <n v="11.73"/>
        <n v="9.32"/>
        <n v="42.7"/>
        <n v="11.74"/>
        <n v="4.73"/>
        <n v="10.02"/>
        <n v="12.64"/>
        <n v="1.98"/>
        <n v="10.43"/>
        <n v="11.82"/>
        <n v="18.03"/>
        <n v="12.02"/>
        <n v="16.33"/>
        <n v="44.16"/>
        <n v="68.47"/>
        <n v="60.18"/>
        <n v="64.49"/>
        <n v="6.72"/>
        <n v="6.32"/>
        <n v="30.25"/>
        <n v="27.67"/>
        <n v="29.42"/>
        <n v="25.11"/>
        <n v="16.87"/>
        <n v="3.47"/>
        <n v="0.13"/>
        <n v="66.33"/>
        <n v="32.69"/>
        <n v="84.8"/>
        <n v="37.73"/>
        <n v="32.72"/>
        <n v="32.44"/>
        <n v="208.35"/>
        <n v="19.53"/>
        <n v="20.01"/>
        <n v="26.3"/>
        <n v="41.19"/>
        <n v="105.0"/>
        <n v="8.66"/>
        <n v="17.25"/>
        <n v="3.15"/>
        <n v="71.55"/>
        <n v="8.21"/>
        <n v="27.58"/>
        <n v="17.86"/>
        <n v="3.76"/>
        <n v="70.79"/>
        <n v="2.81"/>
        <n v="52.75"/>
        <n v="5.96"/>
        <n v="14.47"/>
        <n v="28.35"/>
        <n v="8.0"/>
        <n v="43.0"/>
        <n v="28.47"/>
        <n v="4.0"/>
        <n v="33.95"/>
        <n v="10.85"/>
        <n v="9.17"/>
        <n v="9.7"/>
        <n v="31.46"/>
        <n v="6.94"/>
        <n v="15.38"/>
        <n v="24.98"/>
        <n v="21.38"/>
        <n v="0.75"/>
        <n v="2.44"/>
        <n v="115.52"/>
        <n v="6.1"/>
        <n v="1.5"/>
        <n v="5.19"/>
        <n v="22.13"/>
        <n v="16.99"/>
        <n v="175.0"/>
        <n v="11.69"/>
        <n v="21.71"/>
        <n v="27.84"/>
        <n v="79.54"/>
        <n v="5.59"/>
        <n v="19.62"/>
        <n v="14.95"/>
        <n v="23.69"/>
        <n v="55.92"/>
        <n v="8.1"/>
        <n v="11.58"/>
        <n v="42.24"/>
        <n v="11.49"/>
        <n v="21.83"/>
        <n v="11.59"/>
        <n v="17.36"/>
        <n v="3.94"/>
        <n v="131.79"/>
        <n v="32.98"/>
        <n v="10.82"/>
        <n v="9.65"/>
        <n v="6.88"/>
        <n v="23.95"/>
        <n v="57.32"/>
        <n v="0.53"/>
        <n v="9.86"/>
        <n v="24.15"/>
        <n v="44.99"/>
        <n v="18.95"/>
        <n v="25.0"/>
        <n v="27.59"/>
        <n v="18.93"/>
        <n v="34.77"/>
        <n v="75.0"/>
        <n v="12.34"/>
        <n v="21.79"/>
        <n v="5.65"/>
        <n v="35.51"/>
        <n v="10.94"/>
        <n v="45.24"/>
        <n v="33.0"/>
        <n v="84.39"/>
        <n v="30.17"/>
        <n v="11.26"/>
        <n v="8.76"/>
        <n v="9.76"/>
        <n v="36.26"/>
        <n v="7.91"/>
        <n v="36.75"/>
        <n v="56.83"/>
        <n v="29.9"/>
        <n v="15.63"/>
        <n v="10.73"/>
        <n v="37.44"/>
        <n v="25.03"/>
        <n v="35.75"/>
        <n v="100.0"/>
        <n v="21.67"/>
        <n v="35.06"/>
        <n v="34.92"/>
        <n v="57.0"/>
        <n v="14.63"/>
        <n v="22.25"/>
        <n v="58.03"/>
        <n v="10.48"/>
      </sharedItems>
    </cacheField>
    <cacheField name="original_category" numFmtId="0">
      <sharedItems containsBlank="1">
        <s v="Restaurants"/>
        <s v="Gas / Fuel"/>
        <s v="Shopping"/>
        <s v="Dining Out"/>
        <s v="Grocery"/>
        <s v="Merchandise"/>
        <s v="Gas"/>
        <s v="Other"/>
        <s v="Financial &amp; Investment"/>
        <s v="Auto Payment"/>
        <s v="Services"/>
        <s v="Entertainment"/>
        <s v="Clothes &amp; Accessories"/>
        <s v="Parking"/>
        <s v="Groceries"/>
        <s v="Credit"/>
        <s v="Mortgage / Rent"/>
        <s v="Amusement"/>
        <s v="Transportation"/>
        <s v="Home"/>
        <s v="Utilities"/>
        <s v="Supermarkets"/>
        <s v="Uncategorized"/>
        <s v="Travel/ Entertainment"/>
        <s v="Govt-services-parking"/>
        <s v="Vacation"/>
        <s v="Hobbies"/>
        <s v="Movies &amp; DVDs"/>
        <s v="Gasoline"/>
        <s v="Cash &amp; ATM"/>
        <s v="Alcohol"/>
        <s v="Home Services"/>
        <s v="Automotive"/>
        <s v="Service &amp; Parts"/>
        <s v="Food &amp; Dining"/>
        <s v="Auto"/>
        <m/>
      </sharedItems>
    </cacheField>
    <cacheField name="my_category" numFmtId="0">
      <sharedItems>
        <s v="Dining Out"/>
        <s v="Transportation"/>
        <s v="Groceries"/>
        <s v="Other"/>
        <s v="Shopping"/>
        <s v="Bills"/>
        <s v="Subscriptions"/>
        <s v="Entertainment"/>
        <s v="Travel"/>
        <s v="Withdrawal"/>
      </sharedItems>
    </cacheField>
    <cacheField name="source" numFmtId="0">
      <sharedItems>
        <s v="Card1"/>
        <s v="Bank2"/>
        <s v="Card2"/>
        <s v="Bank1"/>
      </sharedItems>
    </cacheField>
    <cacheField name="note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_summary" cacheId="0" dataCaption="" compact="0" compactData="0">
  <location ref="A1:P13" firstHeaderRow="0" firstDataRow="1" firstDataCol="1"/>
  <pivotFields>
    <pivotField name="date" axis="axisCol" compact="0" outline="0" multipleItemSelectionAllowed="1" showAll="0" sortType="ascending">
      <items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erch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original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y_category" axis="axisRow" compact="0" outline="0" multipleItemSelectionAllowed="1" showAll="0" sortType="ascending">
      <items>
        <item x="5"/>
        <item x="0"/>
        <item x="7"/>
        <item x="2"/>
        <item x="3"/>
        <item x="4"/>
        <item x="6"/>
        <item x="1"/>
        <item x="8"/>
        <item x="9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t="default"/>
      </items>
    </pivotField>
    <pivotField name="notes" compact="0" outline="0" multipleItemSelectionAllowed="1" showAll="0">
      <items>
        <item x="0"/>
        <item t="default"/>
      </items>
    </pivotField>
  </pivotFields>
  <rowFields>
    <field x="4"/>
  </rowFields>
  <colFields>
    <field x="0"/>
  </colFields>
  <dataFields>
    <dataField name="sum_of_amount" fld="2" baseField="0"/>
  </dataFields>
</pivotTableDefinition>
</file>

<file path=xl/pivotTables/pivotTable2.xml><?xml version="1.0" encoding="utf-8"?>
<pivotTableDefinition xmlns="http://schemas.openxmlformats.org/spreadsheetml/2006/main" name="monthly_summary 2" cacheId="0" dataCaption="" compact="0" compactData="0">
  <location ref="R1:T6" firstHeaderRow="0" firstDataRow="2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erch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original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y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ource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notes" compact="0" outline="0" multipleItemSelectionAllowed="1" showAll="0">
      <items>
        <item x="0"/>
        <item t="default"/>
      </items>
    </pivotField>
  </pivotFields>
  <rowFields>
    <field x="5"/>
  </rowFields>
  <colFields>
    <field x="-2"/>
  </colFields>
  <dataFields>
    <dataField name="sum_of_amount" fld="2" baseField="0"/>
    <dataField name="count_of_transactions" fld="2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i.com" TargetMode="External"/><Relationship Id="rId2" Type="http://schemas.openxmlformats.org/officeDocument/2006/relationships/hyperlink" Target="http://recreation.gov" TargetMode="External"/><Relationship Id="rId3" Type="http://schemas.openxmlformats.org/officeDocument/2006/relationships/hyperlink" Target="http://rei.com" TargetMode="External"/><Relationship Id="rId4" Type="http://schemas.openxmlformats.org/officeDocument/2006/relationships/hyperlink" Target="http://rei.com" TargetMode="External"/><Relationship Id="rId11" Type="http://schemas.openxmlformats.org/officeDocument/2006/relationships/hyperlink" Target="http://chewy.com" TargetMode="External"/><Relationship Id="rId10" Type="http://schemas.openxmlformats.org/officeDocument/2006/relationships/hyperlink" Target="http://axs.co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360training.com" TargetMode="External"/><Relationship Id="rId5" Type="http://schemas.openxmlformats.org/officeDocument/2006/relationships/hyperlink" Target="http://recreation.gov/" TargetMode="External"/><Relationship Id="rId6" Type="http://schemas.openxmlformats.org/officeDocument/2006/relationships/hyperlink" Target="http://rei.com" TargetMode="External"/><Relationship Id="rId7" Type="http://schemas.openxmlformats.org/officeDocument/2006/relationships/hyperlink" Target="http://rei.com" TargetMode="External"/><Relationship Id="rId8" Type="http://schemas.openxmlformats.org/officeDocument/2006/relationships/hyperlink" Target="http://rei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ecreation.gov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9.75"/>
    <col customWidth="1" min="3" max="3" width="33.5"/>
    <col customWidth="1" min="4" max="4" width="9.13"/>
    <col customWidth="1" hidden="1" min="5" max="5" width="13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>
        <v>45694.0</v>
      </c>
      <c r="B2" s="4" t="str">
        <f t="shared" ref="B2:B756" si="1">TEXT(A2,"yyyy-mm")</f>
        <v>2025-02</v>
      </c>
      <c r="C2" s="2" t="s">
        <v>8</v>
      </c>
      <c r="D2" s="6">
        <v>434.92</v>
      </c>
      <c r="E2" s="4" t="s">
        <v>9</v>
      </c>
      <c r="F2" s="7" t="str">
        <f t="array" ref="F2">IFERROR(
  INDEX(lookup_table!B:B,
        MATCH(TRUE,
              ISNUMBER(SEARCH(lookup_table!A:A,C2)),
        0)
  ),
"Uncategorized")
</f>
        <v>Dining Out</v>
      </c>
      <c r="G2" s="1" t="s">
        <v>10</v>
      </c>
      <c r="H2" s="4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8">
        <v>45666.0</v>
      </c>
      <c r="B3" s="4" t="str">
        <f t="shared" si="1"/>
        <v>2025-01</v>
      </c>
      <c r="C3" s="2" t="s">
        <v>11</v>
      </c>
      <c r="D3" s="6">
        <v>8.31</v>
      </c>
      <c r="E3" s="4" t="s">
        <v>12</v>
      </c>
      <c r="F3" s="7" t="str">
        <f t="array" ref="F3">IFERROR(
  INDEX(lookup_table!B:B,
        MATCH(TRUE,
              ISNUMBER(SEARCH(lookup_table!A:A,C3)),
        0)
  ),
"Uncategorized")
</f>
        <v>Transportation</v>
      </c>
      <c r="G3" s="1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8">
        <v>45668.0</v>
      </c>
      <c r="B4" s="4" t="str">
        <f t="shared" si="1"/>
        <v>2025-01</v>
      </c>
      <c r="C4" s="2" t="s">
        <v>14</v>
      </c>
      <c r="D4" s="6">
        <v>6.33</v>
      </c>
      <c r="E4" s="4" t="s">
        <v>15</v>
      </c>
      <c r="F4" s="7" t="str">
        <f t="array" ref="F4">IFERROR(
  INDEX(lookup_table!B:B,
        MATCH(TRUE,
              ISNUMBER(SEARCH(lookup_table!A:A,C4)),
        0)
  ),
"Uncategorized")
</f>
        <v>Groceries</v>
      </c>
      <c r="G4" s="1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8">
        <v>45674.0</v>
      </c>
      <c r="B5" s="4" t="str">
        <f t="shared" si="1"/>
        <v>2025-01</v>
      </c>
      <c r="C5" s="2" t="s">
        <v>16</v>
      </c>
      <c r="D5" s="6">
        <v>5.16</v>
      </c>
      <c r="E5" s="4" t="s">
        <v>17</v>
      </c>
      <c r="F5" s="7" t="str">
        <f t="array" ref="F5">IFERROR(
  INDEX(lookup_table!B:B,
        MATCH(TRUE,
              ISNUMBER(SEARCH(lookup_table!A:A,C5)),
        0)
  ),
"Uncategorized")
</f>
        <v>Dining Out</v>
      </c>
      <c r="G5" s="1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8">
        <v>45675.0</v>
      </c>
      <c r="B6" s="4" t="str">
        <f t="shared" si="1"/>
        <v>2025-01</v>
      </c>
      <c r="C6" s="2" t="s">
        <v>11</v>
      </c>
      <c r="D6" s="6">
        <v>5.93</v>
      </c>
      <c r="E6" s="4" t="s">
        <v>12</v>
      </c>
      <c r="F6" s="7" t="str">
        <f t="array" ref="F6">IFERROR(
  INDEX(lookup_table!B:B,
        MATCH(TRUE,
              ISNUMBER(SEARCH(lookup_table!A:A,C6)),
        0)
  ),
"Uncategorized")
</f>
        <v>Transportation</v>
      </c>
      <c r="G6" s="1" t="s">
        <v>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8">
        <v>45675.0</v>
      </c>
      <c r="B7" s="4" t="str">
        <f t="shared" si="1"/>
        <v>2025-01</v>
      </c>
      <c r="C7" s="2" t="s">
        <v>11</v>
      </c>
      <c r="D7" s="6">
        <v>4.21</v>
      </c>
      <c r="E7" s="4" t="s">
        <v>12</v>
      </c>
      <c r="F7" s="7" t="str">
        <f t="array" ref="F7">IFERROR(
  INDEX(lookup_table!B:B,
        MATCH(TRUE,
              ISNUMBER(SEARCH(lookup_table!A:A,C7)),
        0)
  ),
"Uncategorized")
</f>
        <v>Transportation</v>
      </c>
      <c r="G7" s="1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8">
        <v>45676.0</v>
      </c>
      <c r="B8" s="4" t="str">
        <f t="shared" si="1"/>
        <v>2025-01</v>
      </c>
      <c r="C8" s="2" t="s">
        <v>18</v>
      </c>
      <c r="D8" s="6">
        <v>2.25</v>
      </c>
      <c r="E8" s="4" t="s">
        <v>17</v>
      </c>
      <c r="F8" s="7" t="str">
        <f t="array" ref="F8">IFERROR(
  INDEX(lookup_table!B:B,
        MATCH(TRUE,
              ISNUMBER(SEARCH(lookup_table!A:A,C8)),
        0)
  ),
"Uncategorized")
</f>
        <v>Other</v>
      </c>
      <c r="G8" s="1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8">
        <v>45681.0</v>
      </c>
      <c r="B9" s="4" t="str">
        <f t="shared" si="1"/>
        <v>2025-01</v>
      </c>
      <c r="C9" s="2" t="s">
        <v>19</v>
      </c>
      <c r="D9" s="6">
        <v>6.52</v>
      </c>
      <c r="E9" s="4" t="s">
        <v>12</v>
      </c>
      <c r="F9" s="7" t="str">
        <f t="array" ref="F9">IFERROR(
  INDEX(lookup_table!B:B,
        MATCH(TRUE,
              ISNUMBER(SEARCH(lookup_table!A:A,C9)),
        0)
  ),
"Uncategorized")
</f>
        <v>Transportation</v>
      </c>
      <c r="G9" s="1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9">
        <v>45690.0</v>
      </c>
      <c r="B10" s="4" t="str">
        <f t="shared" si="1"/>
        <v>2025-02</v>
      </c>
      <c r="C10" s="2" t="s">
        <v>20</v>
      </c>
      <c r="D10" s="6">
        <v>16.13</v>
      </c>
      <c r="E10" s="4" t="s">
        <v>9</v>
      </c>
      <c r="F10" s="7" t="str">
        <f t="array" ref="F10">IFERROR(
  INDEX(lookup_table!B:B,
        MATCH(TRUE,
              ISNUMBER(SEARCH(lookup_table!A:A,C10)),
        0)
  ),
"Uncategorized")
</f>
        <v>Dining Out</v>
      </c>
      <c r="G10" s="1" t="s">
        <v>21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9">
        <v>45690.0</v>
      </c>
      <c r="B11" s="4" t="str">
        <f t="shared" si="1"/>
        <v>2025-02</v>
      </c>
      <c r="C11" s="2" t="s">
        <v>22</v>
      </c>
      <c r="D11" s="6">
        <v>74.42</v>
      </c>
      <c r="E11" s="4" t="s">
        <v>23</v>
      </c>
      <c r="F11" s="7" t="str">
        <f t="array" ref="F11">IFERROR(
  INDEX(lookup_table!B:B,
        MATCH(TRUE,
              ISNUMBER(SEARCH(lookup_table!A:A,C11)),
        0)
  ),
"Uncategorized")
</f>
        <v>Groceries</v>
      </c>
      <c r="G11" s="1" t="s">
        <v>10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9">
        <v>45690.0</v>
      </c>
      <c r="B12" s="4" t="str">
        <f t="shared" si="1"/>
        <v>2025-02</v>
      </c>
      <c r="C12" s="2" t="s">
        <v>24</v>
      </c>
      <c r="D12" s="6">
        <v>9.08</v>
      </c>
      <c r="E12" s="4" t="s">
        <v>25</v>
      </c>
      <c r="F12" s="7" t="str">
        <f t="array" ref="F12">IFERROR(
  INDEX(lookup_table!B:B,
        MATCH(TRUE,
              ISNUMBER(SEARCH(lookup_table!A:A,C12)),
        0)
  ),
"Uncategorized")
</f>
        <v>Shopping</v>
      </c>
      <c r="G12" s="1" t="s">
        <v>21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9">
        <v>45690.0</v>
      </c>
      <c r="B13" s="4" t="str">
        <f t="shared" si="1"/>
        <v>2025-02</v>
      </c>
      <c r="C13" s="2" t="s">
        <v>11</v>
      </c>
      <c r="D13" s="6">
        <v>43.57</v>
      </c>
      <c r="E13" s="4" t="s">
        <v>26</v>
      </c>
      <c r="F13" s="7" t="str">
        <f t="array" ref="F13">IFERROR(
  INDEX(lookup_table!B:B,
        MATCH(TRUE,
              ISNUMBER(SEARCH(lookup_table!A:A,C13)),
        0)
  ),
"Uncategorized")
</f>
        <v>Transportation</v>
      </c>
      <c r="G13" s="1" t="s">
        <v>10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9">
        <v>45692.0</v>
      </c>
      <c r="B14" s="4" t="str">
        <f t="shared" si="1"/>
        <v>2025-02</v>
      </c>
      <c r="C14" s="2" t="s">
        <v>27</v>
      </c>
      <c r="D14" s="6">
        <v>14.75</v>
      </c>
      <c r="E14" s="4" t="s">
        <v>28</v>
      </c>
      <c r="F14" s="7" t="str">
        <f t="array" ref="F14">IFERROR(
  INDEX(lookup_table!B:B,
        MATCH(TRUE,
              ISNUMBER(SEARCH(lookup_table!A:A,C14)),
        0)
  ),
"Uncategorized")
</f>
        <v>Shopping</v>
      </c>
      <c r="G14" s="1" t="s">
        <v>10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8">
        <v>45694.0</v>
      </c>
      <c r="B15" s="4" t="str">
        <f t="shared" si="1"/>
        <v>2025-02</v>
      </c>
      <c r="C15" s="2" t="s">
        <v>29</v>
      </c>
      <c r="D15" s="6">
        <v>50.0</v>
      </c>
      <c r="E15" s="4" t="s">
        <v>30</v>
      </c>
      <c r="F15" s="7" t="str">
        <f t="array" ref="F15">IFERROR(
  INDEX(lookup_table!B:B,
        MATCH(TRUE,
              ISNUMBER(SEARCH(lookup_table!A:A,C15)),
        0)
  ),
"Uncategorized")
</f>
        <v>Bills</v>
      </c>
      <c r="G15" s="1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8">
        <v>45694.0</v>
      </c>
      <c r="B16" s="4" t="str">
        <f t="shared" si="1"/>
        <v>2025-02</v>
      </c>
      <c r="C16" s="2" t="s">
        <v>31</v>
      </c>
      <c r="D16" s="6">
        <v>346.3</v>
      </c>
      <c r="E16" s="4" t="s">
        <v>32</v>
      </c>
      <c r="F16" s="7" t="str">
        <f t="array" ref="F16">IFERROR(
  INDEX(lookup_table!B:B,
        MATCH(TRUE,
              ISNUMBER(SEARCH(lookup_table!A:A,C16)),
        0)
  ),
"Uncategorized")
</f>
        <v>Bills</v>
      </c>
      <c r="G16" s="1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9">
        <v>45694.0</v>
      </c>
      <c r="B17" s="4" t="str">
        <f t="shared" si="1"/>
        <v>2025-02</v>
      </c>
      <c r="C17" s="2" t="s">
        <v>33</v>
      </c>
      <c r="D17" s="6">
        <v>10.01</v>
      </c>
      <c r="E17" s="4" t="s">
        <v>28</v>
      </c>
      <c r="F17" s="7" t="str">
        <f t="array" ref="F17">IFERROR(
  INDEX(lookup_table!B:B,
        MATCH(TRUE,
              ISNUMBER(SEARCH(lookup_table!A:A,C17)),
        0)
  ),
"Uncategorized")
</f>
        <v>Dining Out</v>
      </c>
      <c r="G17" s="1" t="s">
        <v>10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8">
        <v>45694.0</v>
      </c>
      <c r="B18" s="4" t="str">
        <f t="shared" si="1"/>
        <v>2025-02</v>
      </c>
      <c r="C18" s="2" t="s">
        <v>11</v>
      </c>
      <c r="D18" s="6">
        <v>9.15</v>
      </c>
      <c r="E18" s="4" t="s">
        <v>12</v>
      </c>
      <c r="F18" s="7" t="str">
        <f t="array" ref="F18">IFERROR(
  INDEX(lookup_table!B:B,
        MATCH(TRUE,
              ISNUMBER(SEARCH(lookup_table!A:A,C18)),
        0)
  ),
"Uncategorized")
</f>
        <v>Transportation</v>
      </c>
      <c r="G18" s="1" t="s">
        <v>13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9">
        <v>45694.0</v>
      </c>
      <c r="B19" s="4" t="str">
        <f t="shared" si="1"/>
        <v>2025-02</v>
      </c>
      <c r="C19" s="2" t="s">
        <v>11</v>
      </c>
      <c r="D19" s="6">
        <v>44.31</v>
      </c>
      <c r="E19" s="4" t="s">
        <v>26</v>
      </c>
      <c r="F19" s="7" t="str">
        <f t="array" ref="F19">IFERROR(
  INDEX(lookup_table!B:B,
        MATCH(TRUE,
              ISNUMBER(SEARCH(lookup_table!A:A,C19)),
        0)
  ),
"Uncategorized")
</f>
        <v>Transportation</v>
      </c>
      <c r="G19" s="1" t="s">
        <v>10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9">
        <v>45695.0</v>
      </c>
      <c r="B20" s="4" t="str">
        <f t="shared" si="1"/>
        <v>2025-02</v>
      </c>
      <c r="C20" s="2" t="s">
        <v>34</v>
      </c>
      <c r="D20" s="6">
        <v>286.24</v>
      </c>
      <c r="E20" s="4" t="s">
        <v>35</v>
      </c>
      <c r="F20" s="7" t="str">
        <f t="array" ref="F20">IFERROR(
  INDEX(lookup_table!B:B,
        MATCH(TRUE,
              ISNUMBER(SEARCH(lookup_table!A:A,C20)),
        0)
  ),
"Uncategorized")
</f>
        <v>Bills</v>
      </c>
      <c r="G20" s="1" t="s">
        <v>21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9">
        <v>45695.0</v>
      </c>
      <c r="B21" s="4" t="str">
        <f t="shared" si="1"/>
        <v>2025-02</v>
      </c>
      <c r="C21" s="2" t="s">
        <v>36</v>
      </c>
      <c r="D21" s="6">
        <v>8.25</v>
      </c>
      <c r="E21" s="4" t="s">
        <v>9</v>
      </c>
      <c r="F21" s="7" t="str">
        <f t="array" ref="F21">IFERROR(
  INDEX(lookup_table!B:B,
        MATCH(TRUE,
              ISNUMBER(SEARCH(lookup_table!A:A,C21)),
        0)
  ),
"Uncategorized")
</f>
        <v>Bills</v>
      </c>
      <c r="G21" s="1" t="s">
        <v>21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9">
        <v>45695.0</v>
      </c>
      <c r="B22" s="4" t="str">
        <f t="shared" si="1"/>
        <v>2025-02</v>
      </c>
      <c r="C22" s="2" t="s">
        <v>37</v>
      </c>
      <c r="D22" s="6">
        <v>29.63</v>
      </c>
      <c r="E22" s="4" t="s">
        <v>23</v>
      </c>
      <c r="F22" s="7" t="str">
        <f t="array" ref="F22">IFERROR(
  INDEX(lookup_table!B:B,
        MATCH(TRUE,
              ISNUMBER(SEARCH(lookup_table!A:A,C22)),
        0)
  ),
"Uncategorized")
</f>
        <v>Groceries</v>
      </c>
      <c r="G22" s="1" t="s">
        <v>10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9">
        <v>45696.0</v>
      </c>
      <c r="B23" s="4" t="str">
        <f t="shared" si="1"/>
        <v>2025-02</v>
      </c>
      <c r="C23" s="2" t="s">
        <v>38</v>
      </c>
      <c r="D23" s="6">
        <v>5.5</v>
      </c>
      <c r="E23" s="4" t="s">
        <v>9</v>
      </c>
      <c r="F23" s="7" t="str">
        <f t="array" ref="F23">IFERROR(
  INDEX(lookup_table!B:B,
        MATCH(TRUE,
              ISNUMBER(SEARCH(lookup_table!A:A,C23)),
        0)
  ),
"Uncategorized")
</f>
        <v>Dining Out</v>
      </c>
      <c r="G23" s="1" t="s">
        <v>10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9">
        <v>45696.0</v>
      </c>
      <c r="B24" s="4" t="str">
        <f t="shared" si="1"/>
        <v>2025-02</v>
      </c>
      <c r="C24" s="2" t="s">
        <v>38</v>
      </c>
      <c r="D24" s="6">
        <v>16.55</v>
      </c>
      <c r="E24" s="4" t="s">
        <v>9</v>
      </c>
      <c r="F24" s="7" t="str">
        <f t="array" ref="F24">IFERROR(
  INDEX(lookup_table!B:B,
        MATCH(TRUE,
              ISNUMBER(SEARCH(lookup_table!A:A,C24)),
        0)
  ),
"Uncategorized")
</f>
        <v>Dining Out</v>
      </c>
      <c r="G24" s="1" t="s">
        <v>10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9">
        <v>45696.0</v>
      </c>
      <c r="B25" s="4" t="str">
        <f t="shared" si="1"/>
        <v>2025-02</v>
      </c>
      <c r="C25" s="2" t="s">
        <v>39</v>
      </c>
      <c r="D25" s="6">
        <v>9.51</v>
      </c>
      <c r="E25" s="4" t="s">
        <v>40</v>
      </c>
      <c r="F25" s="7" t="str">
        <f t="array" ref="F25">IFERROR(
  INDEX(lookup_table!B:B,
        MATCH(TRUE,
              ISNUMBER(SEARCH(lookup_table!A:A,C25)),
        0)
  ),
"Uncategorized")
</f>
        <v>Groceries</v>
      </c>
      <c r="G25" s="1" t="s">
        <v>10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8">
        <v>45696.0</v>
      </c>
      <c r="B26" s="4" t="str">
        <f t="shared" si="1"/>
        <v>2025-02</v>
      </c>
      <c r="C26" s="2" t="s">
        <v>41</v>
      </c>
      <c r="D26" s="6">
        <v>198.0</v>
      </c>
      <c r="E26" s="4" t="s">
        <v>42</v>
      </c>
      <c r="F26" s="7" t="str">
        <f t="array" ref="F26">IFERROR(
  INDEX(lookup_table!B:B,
        MATCH(TRUE,
              ISNUMBER(SEARCH(lookup_table!A:A,C26)),
        0)
  ),
"Uncategorized")
</f>
        <v>Shopping</v>
      </c>
      <c r="G26" s="1" t="s">
        <v>13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9">
        <v>45696.0</v>
      </c>
      <c r="B27" s="4" t="str">
        <f t="shared" si="1"/>
        <v>2025-02</v>
      </c>
      <c r="C27" s="2" t="s">
        <v>43</v>
      </c>
      <c r="D27" s="6">
        <v>53.37</v>
      </c>
      <c r="E27" s="4" t="s">
        <v>15</v>
      </c>
      <c r="F27" s="7" t="str">
        <f t="array" ref="F27">IFERROR(
  INDEX(lookup_table!B:B,
        MATCH(TRUE,
              ISNUMBER(SEARCH(lookup_table!A:A,C27)),
        0)
  ),
"Uncategorized")
</f>
        <v>Subscriptions</v>
      </c>
      <c r="G27" s="1" t="s">
        <v>10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9">
        <v>45697.0</v>
      </c>
      <c r="B28" s="4" t="str">
        <f t="shared" si="1"/>
        <v>2025-02</v>
      </c>
      <c r="C28" s="2" t="s">
        <v>34</v>
      </c>
      <c r="D28" s="6">
        <v>42.2</v>
      </c>
      <c r="E28" s="4" t="s">
        <v>28</v>
      </c>
      <c r="F28" s="7" t="str">
        <f t="array" ref="F28">IFERROR(
  INDEX(lookup_table!B:B,
        MATCH(TRUE,
              ISNUMBER(SEARCH(lookup_table!A:A,C28)),
        0)
  ),
"Uncategorized")
</f>
        <v>Bills</v>
      </c>
      <c r="G28" s="1" t="s">
        <v>10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8">
        <v>45698.0</v>
      </c>
      <c r="B29" s="4" t="str">
        <f t="shared" si="1"/>
        <v>2025-02</v>
      </c>
      <c r="C29" s="2" t="s">
        <v>44</v>
      </c>
      <c r="D29" s="6">
        <v>18.0</v>
      </c>
      <c r="E29" s="4" t="s">
        <v>45</v>
      </c>
      <c r="F29" s="7" t="str">
        <f t="array" ref="F29">IFERROR(
  INDEX(lookup_table!B:B,
        MATCH(TRUE,
              ISNUMBER(SEARCH(lookup_table!A:A,C29)),
        0)
  ),
"Uncategorized")
</f>
        <v>Entertainment</v>
      </c>
      <c r="G29" s="1" t="s">
        <v>13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9">
        <v>45699.0</v>
      </c>
      <c r="B30" s="4" t="str">
        <f t="shared" si="1"/>
        <v>2025-02</v>
      </c>
      <c r="C30" s="2" t="s">
        <v>46</v>
      </c>
      <c r="D30" s="6">
        <v>34.9</v>
      </c>
      <c r="E30" s="4" t="s">
        <v>26</v>
      </c>
      <c r="F30" s="7" t="str">
        <f t="array" ref="F30">IFERROR(
  INDEX(lookup_table!B:B,
        MATCH(TRUE,
              ISNUMBER(SEARCH(lookup_table!A:A,C30)),
        0)
  ),
"Uncategorized")
</f>
        <v>Dining Out</v>
      </c>
      <c r="G30" s="1" t="s">
        <v>10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9">
        <v>45699.0</v>
      </c>
      <c r="B31" s="4" t="str">
        <f t="shared" si="1"/>
        <v>2025-02</v>
      </c>
      <c r="C31" s="2" t="s">
        <v>47</v>
      </c>
      <c r="D31" s="6">
        <v>70.25</v>
      </c>
      <c r="E31" s="4" t="s">
        <v>23</v>
      </c>
      <c r="F31" s="7" t="str">
        <f t="array" ref="F31">IFERROR(
  INDEX(lookup_table!B:B,
        MATCH(TRUE,
              ISNUMBER(SEARCH(lookup_table!A:A,C31)),
        0)
  ),
"Uncategorized")
</f>
        <v>Dining Out</v>
      </c>
      <c r="G31" s="1" t="s">
        <v>10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9">
        <v>45699.0</v>
      </c>
      <c r="B32" s="4" t="str">
        <f t="shared" si="1"/>
        <v>2025-02</v>
      </c>
      <c r="C32" s="2" t="s">
        <v>48</v>
      </c>
      <c r="D32" s="6">
        <v>38.99</v>
      </c>
      <c r="E32" s="4" t="s">
        <v>23</v>
      </c>
      <c r="F32" s="7" t="str">
        <f t="array" ref="F32">IFERROR(
  INDEX(lookup_table!B:B,
        MATCH(TRUE,
              ISNUMBER(SEARCH(lookup_table!A:A,C32)),
        0)
  ),
"Uncategorized")
</f>
        <v>Groceries</v>
      </c>
      <c r="G32" s="1" t="s">
        <v>10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8">
        <v>45699.0</v>
      </c>
      <c r="B33" s="4" t="str">
        <f t="shared" si="1"/>
        <v>2025-02</v>
      </c>
      <c r="C33" s="2" t="s">
        <v>49</v>
      </c>
      <c r="D33" s="6">
        <v>3.82</v>
      </c>
      <c r="E33" s="4" t="s">
        <v>50</v>
      </c>
      <c r="F33" s="7" t="str">
        <f t="array" ref="F33">IFERROR(
  INDEX(lookup_table!B:B,
        MATCH(TRUE,
              ISNUMBER(SEARCH(lookup_table!A:A,C33)),
        0)
  ),
"Uncategorized")
</f>
        <v>Groceries</v>
      </c>
      <c r="G33" s="1" t="s">
        <v>13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8">
        <v>45699.0</v>
      </c>
      <c r="B34" s="4" t="str">
        <f t="shared" si="1"/>
        <v>2025-02</v>
      </c>
      <c r="C34" s="2" t="s">
        <v>51</v>
      </c>
      <c r="D34" s="6">
        <v>42.19</v>
      </c>
      <c r="E34" s="4" t="s">
        <v>42</v>
      </c>
      <c r="F34" s="7" t="str">
        <f t="array" ref="F34">IFERROR(
  INDEX(lookup_table!B:B,
        MATCH(TRUE,
              ISNUMBER(SEARCH(lookup_table!A:A,C34)),
        0)
  ),
"Uncategorized")
</f>
        <v>Shopping</v>
      </c>
      <c r="G34" s="1" t="s">
        <v>13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8">
        <v>45699.0</v>
      </c>
      <c r="B35" s="4" t="str">
        <f t="shared" si="1"/>
        <v>2025-02</v>
      </c>
      <c r="C35" s="2" t="s">
        <v>52</v>
      </c>
      <c r="D35" s="6">
        <v>40.09</v>
      </c>
      <c r="E35" s="4" t="s">
        <v>42</v>
      </c>
      <c r="F35" s="7" t="str">
        <f t="array" ref="F35">IFERROR(
  INDEX(lookup_table!B:B,
        MATCH(TRUE,
              ISNUMBER(SEARCH(lookup_table!A:A,C35)),
        0)
  ),
"Uncategorized")
</f>
        <v>Shopping</v>
      </c>
      <c r="G35" s="1" t="s">
        <v>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8">
        <v>45700.0</v>
      </c>
      <c r="B36" s="4" t="str">
        <f t="shared" si="1"/>
        <v>2025-02</v>
      </c>
      <c r="C36" s="2" t="s">
        <v>53</v>
      </c>
      <c r="D36" s="6">
        <v>4.27</v>
      </c>
      <c r="E36" s="4" t="s">
        <v>17</v>
      </c>
      <c r="F36" s="7" t="str">
        <f t="array" ref="F36">IFERROR(
  INDEX(lookup_table!B:B,
        MATCH(TRUE,
              ISNUMBER(SEARCH(lookup_table!A:A,C36)),
        0)
  ),
"Uncategorized")
</f>
        <v>Dining Out</v>
      </c>
      <c r="G36" s="1" t="s">
        <v>13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9">
        <v>45700.0</v>
      </c>
      <c r="B37" s="4" t="str">
        <f t="shared" si="1"/>
        <v>2025-02</v>
      </c>
      <c r="C37" s="2" t="s">
        <v>54</v>
      </c>
      <c r="D37" s="6">
        <v>5.55</v>
      </c>
      <c r="E37" s="4" t="s">
        <v>23</v>
      </c>
      <c r="F37" s="7" t="str">
        <f t="array" ref="F37">IFERROR(
  INDEX(lookup_table!B:B,
        MATCH(TRUE,
              ISNUMBER(SEARCH(lookup_table!A:A,C37)),
        0)
  ),
"Uncategorized")
</f>
        <v>Travel</v>
      </c>
      <c r="G37" s="1" t="s">
        <v>10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9">
        <v>45701.0</v>
      </c>
      <c r="B38" s="4" t="str">
        <f t="shared" si="1"/>
        <v>2025-02</v>
      </c>
      <c r="C38" s="2" t="s">
        <v>55</v>
      </c>
      <c r="D38" s="6">
        <v>82.37</v>
      </c>
      <c r="E38" s="4" t="s">
        <v>28</v>
      </c>
      <c r="F38" s="7" t="str">
        <f t="array" ref="F38">IFERROR(
  INDEX(lookup_table!B:B,
        MATCH(TRUE,
              ISNUMBER(SEARCH(lookup_table!A:A,C38)),
        0)
  ),
"Uncategorized")
</f>
        <v>Transportation</v>
      </c>
      <c r="G38" s="1" t="s">
        <v>10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9">
        <v>45701.0</v>
      </c>
      <c r="B39" s="4" t="str">
        <f t="shared" si="1"/>
        <v>2025-02</v>
      </c>
      <c r="C39" s="2" t="s">
        <v>55</v>
      </c>
      <c r="D39" s="6">
        <v>92.92</v>
      </c>
      <c r="E39" s="4" t="s">
        <v>28</v>
      </c>
      <c r="F39" s="7" t="str">
        <f t="array" ref="F39">IFERROR(
  INDEX(lookup_table!B:B,
        MATCH(TRUE,
              ISNUMBER(SEARCH(lookup_table!A:A,C39)),
        0)
  ),
"Uncategorized")
</f>
        <v>Transportation</v>
      </c>
      <c r="G39" s="1" t="s">
        <v>10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9">
        <v>45701.0</v>
      </c>
      <c r="B40" s="4" t="str">
        <f t="shared" si="1"/>
        <v>2025-02</v>
      </c>
      <c r="C40" s="2" t="s">
        <v>56</v>
      </c>
      <c r="D40" s="6">
        <v>92.92</v>
      </c>
      <c r="E40" s="4" t="s">
        <v>57</v>
      </c>
      <c r="F40" s="7" t="str">
        <f t="array" ref="F40">IFERROR(
  INDEX(lookup_table!B:B,
        MATCH(TRUE,
              ISNUMBER(SEARCH(lookup_table!A:A,C40)),
        0)
  ),
"Uncategorized")
</f>
        <v>Transportation</v>
      </c>
      <c r="G40" s="1" t="s">
        <v>10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9">
        <v>45702.0</v>
      </c>
      <c r="B41" s="4" t="str">
        <f t="shared" si="1"/>
        <v>2025-02</v>
      </c>
      <c r="C41" s="2" t="s">
        <v>36</v>
      </c>
      <c r="D41" s="6">
        <v>15.46</v>
      </c>
      <c r="E41" s="4" t="s">
        <v>9</v>
      </c>
      <c r="F41" s="7" t="str">
        <f t="array" ref="F41">IFERROR(
  INDEX(lookup_table!B:B,
        MATCH(TRUE,
              ISNUMBER(SEARCH(lookup_table!A:A,C41)),
        0)
  ),
"Uncategorized")
</f>
        <v>Bills</v>
      </c>
      <c r="G41" s="1" t="s">
        <v>21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8">
        <v>45702.0</v>
      </c>
      <c r="B42" s="4" t="str">
        <f t="shared" si="1"/>
        <v>2025-02</v>
      </c>
      <c r="C42" s="2" t="s">
        <v>58</v>
      </c>
      <c r="D42" s="6">
        <v>872.5</v>
      </c>
      <c r="E42" s="4" t="s">
        <v>59</v>
      </c>
      <c r="F42" s="7" t="str">
        <f t="array" ref="F42">IFERROR(
  INDEX(lookup_table!B:B,
        MATCH(TRUE,
              ISNUMBER(SEARCH(lookup_table!A:A,C42)),
        0)
  ),
"Uncategorized")
</f>
        <v>Bills</v>
      </c>
      <c r="G42" s="1" t="s">
        <v>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8">
        <v>45702.0</v>
      </c>
      <c r="B43" s="4" t="str">
        <f t="shared" si="1"/>
        <v>2025-02</v>
      </c>
      <c r="C43" s="2" t="s">
        <v>16</v>
      </c>
      <c r="D43" s="6">
        <v>4.12</v>
      </c>
      <c r="E43" s="4" t="s">
        <v>17</v>
      </c>
      <c r="F43" s="7" t="str">
        <f t="array" ref="F43">IFERROR(
  INDEX(lookup_table!B:B,
        MATCH(TRUE,
              ISNUMBER(SEARCH(lookup_table!A:A,C43)),
        0)
  ),
"Uncategorized")
</f>
        <v>Dining Out</v>
      </c>
      <c r="G43" s="1" t="s">
        <v>13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8">
        <v>45702.0</v>
      </c>
      <c r="B44" s="4" t="str">
        <f t="shared" si="1"/>
        <v>2025-02</v>
      </c>
      <c r="C44" s="2" t="s">
        <v>60</v>
      </c>
      <c r="D44" s="6">
        <v>20.0</v>
      </c>
      <c r="E44" s="4" t="s">
        <v>61</v>
      </c>
      <c r="F44" s="7" t="str">
        <f t="array" ref="F44">IFERROR(
  INDEX(lookup_table!B:B,
        MATCH(TRUE,
              ISNUMBER(SEARCH(lookup_table!A:A,C44)),
        0)
  ),
"Uncategorized")
</f>
        <v>Entertainment</v>
      </c>
      <c r="G44" s="1" t="s">
        <v>13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9">
        <v>45702.0</v>
      </c>
      <c r="B45" s="4" t="str">
        <f t="shared" si="1"/>
        <v>2025-02</v>
      </c>
      <c r="C45" s="2" t="s">
        <v>48</v>
      </c>
      <c r="D45" s="6">
        <v>12.03</v>
      </c>
      <c r="E45" s="4" t="s">
        <v>23</v>
      </c>
      <c r="F45" s="7" t="str">
        <f t="array" ref="F45">IFERROR(
  INDEX(lookup_table!B:B,
        MATCH(TRUE,
              ISNUMBER(SEARCH(lookup_table!A:A,C45)),
        0)
  ),
"Uncategorized")
</f>
        <v>Groceries</v>
      </c>
      <c r="G45" s="1" t="s">
        <v>10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9">
        <v>45702.0</v>
      </c>
      <c r="B46" s="4" t="str">
        <f t="shared" si="1"/>
        <v>2025-02</v>
      </c>
      <c r="C46" s="2" t="s">
        <v>62</v>
      </c>
      <c r="D46" s="6">
        <v>20.96</v>
      </c>
      <c r="E46" s="4" t="s">
        <v>63</v>
      </c>
      <c r="F46" s="7" t="str">
        <f t="array" ref="F46">IFERROR(
  INDEX(lookup_table!B:B,
        MATCH(TRUE,
              ISNUMBER(SEARCH(lookup_table!A:A,C46)),
        0)
  ),
"Uncategorized")
</f>
        <v>Shopping</v>
      </c>
      <c r="G46" s="1" t="s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9">
        <v>45702.0</v>
      </c>
      <c r="B47" s="4" t="str">
        <f t="shared" si="1"/>
        <v>2025-02</v>
      </c>
      <c r="C47" s="2" t="s">
        <v>62</v>
      </c>
      <c r="D47" s="6">
        <v>22.94</v>
      </c>
      <c r="E47" s="4" t="s">
        <v>63</v>
      </c>
      <c r="F47" s="7" t="str">
        <f t="array" ref="F47">IFERROR(
  INDEX(lookup_table!B:B,
        MATCH(TRUE,
              ISNUMBER(SEARCH(lookup_table!A:A,C47)),
        0)
  ),
"Uncategorized")
</f>
        <v>Shopping</v>
      </c>
      <c r="G47" s="1" t="s">
        <v>10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9">
        <v>45703.0</v>
      </c>
      <c r="B48" s="4" t="str">
        <f t="shared" si="1"/>
        <v>2025-02</v>
      </c>
      <c r="C48" s="2" t="s">
        <v>36</v>
      </c>
      <c r="D48" s="6">
        <v>5.22</v>
      </c>
      <c r="E48" s="4" t="s">
        <v>9</v>
      </c>
      <c r="F48" s="7" t="str">
        <f t="array" ref="F48">IFERROR(
  INDEX(lookup_table!B:B,
        MATCH(TRUE,
              ISNUMBER(SEARCH(lookup_table!A:A,C48)),
        0)
  ),
"Uncategorized")
</f>
        <v>Bills</v>
      </c>
      <c r="G48" s="1" t="s">
        <v>21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8">
        <v>45703.0</v>
      </c>
      <c r="B49" s="4" t="str">
        <f t="shared" si="1"/>
        <v>2025-02</v>
      </c>
      <c r="C49" s="2" t="s">
        <v>64</v>
      </c>
      <c r="D49" s="6">
        <v>25.32</v>
      </c>
      <c r="E49" s="4" t="s">
        <v>65</v>
      </c>
      <c r="F49" s="7" t="str">
        <f t="array" ref="F49">IFERROR(
  INDEX(lookup_table!B:B,
        MATCH(TRUE,
              ISNUMBER(SEARCH(lookup_table!A:A,C49)),
        0)
  ),
"Uncategorized")
</f>
        <v>Shopping</v>
      </c>
      <c r="G49" s="1" t="s">
        <v>13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9">
        <v>45705.0</v>
      </c>
      <c r="B50" s="4" t="str">
        <f t="shared" si="1"/>
        <v>2025-02</v>
      </c>
      <c r="C50" s="2" t="s">
        <v>66</v>
      </c>
      <c r="D50" s="6">
        <v>14.41</v>
      </c>
      <c r="E50" s="4" t="s">
        <v>9</v>
      </c>
      <c r="F50" s="7" t="str">
        <f t="array" ref="F50">IFERROR(
  INDEX(lookup_table!B:B,
        MATCH(TRUE,
              ISNUMBER(SEARCH(lookup_table!A:A,C50)),
        0)
  ),
"Uncategorized")
</f>
        <v>Travel</v>
      </c>
      <c r="G50" s="1" t="s">
        <v>10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9">
        <v>45706.0</v>
      </c>
      <c r="B51" s="4" t="str">
        <f t="shared" si="1"/>
        <v>2025-02</v>
      </c>
      <c r="C51" s="2" t="s">
        <v>54</v>
      </c>
      <c r="D51" s="6">
        <v>104.0</v>
      </c>
      <c r="E51" s="4" t="s">
        <v>9</v>
      </c>
      <c r="F51" s="7" t="str">
        <f t="array" ref="F51">IFERROR(
  INDEX(lookup_table!B:B,
        MATCH(TRUE,
              ISNUMBER(SEARCH(lookup_table!A:A,C51)),
        0)
  ),
"Uncategorized")
</f>
        <v>Travel</v>
      </c>
      <c r="G51" s="1" t="s">
        <v>21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9">
        <v>45707.0</v>
      </c>
      <c r="B52" s="4" t="str">
        <f t="shared" si="1"/>
        <v>2025-02</v>
      </c>
      <c r="C52" s="2" t="s">
        <v>67</v>
      </c>
      <c r="D52" s="6">
        <v>26.38</v>
      </c>
      <c r="E52" s="4" t="s">
        <v>28</v>
      </c>
      <c r="F52" s="7" t="str">
        <f t="array" ref="F52">IFERROR(
  INDEX(lookup_table!B:B,
        MATCH(TRUE,
              ISNUMBER(SEARCH(lookup_table!A:A,C52)),
        0)
  ),
"Uncategorized")
</f>
        <v>Travel</v>
      </c>
      <c r="G52" s="1" t="s">
        <v>10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9">
        <v>45708.0</v>
      </c>
      <c r="B53" s="4" t="str">
        <f t="shared" si="1"/>
        <v>2025-02</v>
      </c>
      <c r="C53" s="2" t="s">
        <v>68</v>
      </c>
      <c r="D53" s="6">
        <v>60.46</v>
      </c>
      <c r="E53" s="4" t="s">
        <v>23</v>
      </c>
      <c r="F53" s="7" t="str">
        <f t="array" ref="F53">IFERROR(
  INDEX(lookup_table!B:B,
        MATCH(TRUE,
              ISNUMBER(SEARCH(lookup_table!A:A,C53)),
        0)
  ),
"Uncategorized")
</f>
        <v>Shopping</v>
      </c>
      <c r="G53" s="1" t="s">
        <v>10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8">
        <v>45709.0</v>
      </c>
      <c r="B54" s="4" t="str">
        <f t="shared" si="1"/>
        <v>2025-02</v>
      </c>
      <c r="C54" s="2" t="s">
        <v>69</v>
      </c>
      <c r="D54" s="6">
        <v>2.42</v>
      </c>
      <c r="E54" s="4" t="s">
        <v>17</v>
      </c>
      <c r="F54" s="7" t="str">
        <f t="array" ref="F54">IFERROR(
  INDEX(lookup_table!B:B,
        MATCH(TRUE,
              ISNUMBER(SEARCH(lookup_table!A:A,C54)),
        0)
  ),
"Uncategorized")
</f>
        <v>Dining Out</v>
      </c>
      <c r="G54" s="1" t="s">
        <v>13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8">
        <v>45709.0</v>
      </c>
      <c r="B55" s="4" t="str">
        <f t="shared" si="1"/>
        <v>2025-02</v>
      </c>
      <c r="C55" s="2" t="s">
        <v>70</v>
      </c>
      <c r="D55" s="6">
        <v>8.24</v>
      </c>
      <c r="E55" s="4" t="s">
        <v>17</v>
      </c>
      <c r="F55" s="7" t="str">
        <f t="array" ref="F55">IFERROR(
  INDEX(lookup_table!B:B,
        MATCH(TRUE,
              ISNUMBER(SEARCH(lookup_table!A:A,C55)),
        0)
  ),
"Uncategorized")
</f>
        <v>Dining Out</v>
      </c>
      <c r="G55" s="1" t="s">
        <v>13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9">
        <v>45709.0</v>
      </c>
      <c r="B56" s="4" t="str">
        <f t="shared" si="1"/>
        <v>2025-02</v>
      </c>
      <c r="C56" s="2" t="s">
        <v>71</v>
      </c>
      <c r="D56" s="6">
        <v>5.27</v>
      </c>
      <c r="E56" s="4" t="s">
        <v>28</v>
      </c>
      <c r="F56" s="7" t="str">
        <f t="array" ref="F56">IFERROR(
  INDEX(lookup_table!B:B,
        MATCH(TRUE,
              ISNUMBER(SEARCH(lookup_table!A:A,C56)),
        0)
  ),
"Uncategorized")
</f>
        <v>Entertainment</v>
      </c>
      <c r="G56" s="1" t="s">
        <v>10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8">
        <v>45710.0</v>
      </c>
      <c r="B57" s="4" t="str">
        <f t="shared" si="1"/>
        <v>2025-02</v>
      </c>
      <c r="C57" s="2" t="s">
        <v>72</v>
      </c>
      <c r="D57" s="6">
        <v>11.17</v>
      </c>
      <c r="E57" s="4" t="s">
        <v>17</v>
      </c>
      <c r="F57" s="7" t="str">
        <f t="array" ref="F57">IFERROR(
  INDEX(lookup_table!B:B,
        MATCH(TRUE,
              ISNUMBER(SEARCH(lookup_table!A:A,C57)),
        0)
  ),
"Uncategorized")
</f>
        <v>Dining Out</v>
      </c>
      <c r="G57" s="1" t="s">
        <v>13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9">
        <v>45710.0</v>
      </c>
      <c r="B58" s="4" t="str">
        <f t="shared" si="1"/>
        <v>2025-02</v>
      </c>
      <c r="C58" s="2" t="s">
        <v>73</v>
      </c>
      <c r="D58" s="6">
        <v>5.27</v>
      </c>
      <c r="E58" s="4" t="s">
        <v>28</v>
      </c>
      <c r="F58" s="7" t="str">
        <f t="array" ref="F58">IFERROR(
  INDEX(lookup_table!B:B,
        MATCH(TRUE,
              ISNUMBER(SEARCH(lookup_table!A:A,C58)),
        0)
  ),
"Uncategorized")
</f>
        <v>Entertainment</v>
      </c>
      <c r="G58" s="1" t="s">
        <v>10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8">
        <v>45710.0</v>
      </c>
      <c r="B59" s="4" t="str">
        <f t="shared" si="1"/>
        <v>2025-02</v>
      </c>
      <c r="C59" s="2" t="s">
        <v>74</v>
      </c>
      <c r="D59" s="6">
        <v>25.75</v>
      </c>
      <c r="E59" s="4" t="s">
        <v>17</v>
      </c>
      <c r="F59" s="7" t="str">
        <f t="array" ref="F59">IFERROR(
  INDEX(lookup_table!B:B,
        MATCH(TRUE,
              ISNUMBER(SEARCH(lookup_table!A:A,C59)),
        0)
  ),
"Uncategorized")
</f>
        <v>Entertainment</v>
      </c>
      <c r="G59" s="1" t="s">
        <v>13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9">
        <v>45710.0</v>
      </c>
      <c r="B60" s="4" t="str">
        <f t="shared" si="1"/>
        <v>2025-02</v>
      </c>
      <c r="C60" s="2" t="s">
        <v>75</v>
      </c>
      <c r="D60" s="6">
        <v>12.66</v>
      </c>
      <c r="E60" s="4" t="s">
        <v>28</v>
      </c>
      <c r="F60" s="7" t="str">
        <f t="array" ref="F60">IFERROR(
  INDEX(lookup_table!B:B,
        MATCH(TRUE,
              ISNUMBER(SEARCH(lookup_table!A:A,C60)),
        0)
  ),
"Uncategorized")
</f>
        <v>Travel</v>
      </c>
      <c r="G60" s="1" t="s">
        <v>10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9">
        <v>45710.0</v>
      </c>
      <c r="B61" s="4" t="str">
        <f t="shared" si="1"/>
        <v>2025-02</v>
      </c>
      <c r="C61" s="2" t="s">
        <v>76</v>
      </c>
      <c r="D61" s="6">
        <v>13.72</v>
      </c>
      <c r="E61" s="4" t="s">
        <v>28</v>
      </c>
      <c r="F61" s="7" t="str">
        <f t="array" ref="F61">IFERROR(
  INDEX(lookup_table!B:B,
        MATCH(TRUE,
              ISNUMBER(SEARCH(lookup_table!A:A,C61)),
        0)
  ),
"Uncategorized")
</f>
        <v>Travel</v>
      </c>
      <c r="G61" s="1" t="s">
        <v>10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9">
        <v>45711.0</v>
      </c>
      <c r="B62" s="4" t="str">
        <f t="shared" si="1"/>
        <v>2025-02</v>
      </c>
      <c r="C62" s="2" t="s">
        <v>48</v>
      </c>
      <c r="D62" s="6">
        <v>42.46</v>
      </c>
      <c r="E62" s="4" t="s">
        <v>23</v>
      </c>
      <c r="F62" s="7" t="str">
        <f t="array" ref="F62">IFERROR(
  INDEX(lookup_table!B:B,
        MATCH(TRUE,
              ISNUMBER(SEARCH(lookup_table!A:A,C62)),
        0)
  ),
"Uncategorized")
</f>
        <v>Groceries</v>
      </c>
      <c r="G62" s="1" t="s">
        <v>10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9">
        <v>45711.0</v>
      </c>
      <c r="B63" s="4" t="str">
        <f t="shared" si="1"/>
        <v>2025-02</v>
      </c>
      <c r="C63" s="2" t="s">
        <v>11</v>
      </c>
      <c r="D63" s="6">
        <v>38.35</v>
      </c>
      <c r="E63" s="4" t="s">
        <v>26</v>
      </c>
      <c r="F63" s="7" t="str">
        <f t="array" ref="F63">IFERROR(
  INDEX(lookup_table!B:B,
        MATCH(TRUE,
              ISNUMBER(SEARCH(lookup_table!A:A,C63)),
        0)
  ),
"Uncategorized")
</f>
        <v>Transportation</v>
      </c>
      <c r="G63" s="1" t="s">
        <v>10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9">
        <v>45711.0</v>
      </c>
      <c r="B64" s="4" t="str">
        <f t="shared" si="1"/>
        <v>2025-02</v>
      </c>
      <c r="C64" s="2" t="s">
        <v>77</v>
      </c>
      <c r="D64" s="6">
        <v>10.54</v>
      </c>
      <c r="E64" s="4" t="s">
        <v>28</v>
      </c>
      <c r="F64" s="7" t="str">
        <f t="array" ref="F64">IFERROR(
  INDEX(lookup_table!B:B,
        MATCH(TRUE,
              ISNUMBER(SEARCH(lookup_table!A:A,C64)),
        0)
  ),
"Uncategorized")
</f>
        <v>Transportation</v>
      </c>
      <c r="G64" s="1" t="s">
        <v>10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9">
        <v>45713.0</v>
      </c>
      <c r="B65" s="4" t="str">
        <f t="shared" si="1"/>
        <v>2025-02</v>
      </c>
      <c r="C65" s="2" t="s">
        <v>78</v>
      </c>
      <c r="D65" s="6">
        <v>4.74</v>
      </c>
      <c r="E65" s="4" t="s">
        <v>79</v>
      </c>
      <c r="F65" s="7" t="str">
        <f t="array" ref="F65">IFERROR(
  INDEX(lookup_table!B:B,
        MATCH(TRUE,
              ISNUMBER(SEARCH(lookup_table!A:A,C65)),
        0)
  ),
"Uncategorized")
</f>
        <v>Transportation</v>
      </c>
      <c r="G65" s="1" t="s">
        <v>10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9">
        <v>45714.0</v>
      </c>
      <c r="B66" s="4" t="str">
        <f t="shared" si="1"/>
        <v>2025-02</v>
      </c>
      <c r="C66" s="2" t="s">
        <v>80</v>
      </c>
      <c r="D66" s="6">
        <v>15.0</v>
      </c>
      <c r="E66" s="4" t="s">
        <v>9</v>
      </c>
      <c r="F66" s="7" t="str">
        <f t="array" ref="F66">IFERROR(
  INDEX(lookup_table!B:B,
        MATCH(TRUE,
              ISNUMBER(SEARCH(lookup_table!A:A,C66)),
        0)
  ),
"Uncategorized")
</f>
        <v>Dining Out</v>
      </c>
      <c r="G66" s="1" t="s">
        <v>10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9">
        <v>45714.0</v>
      </c>
      <c r="B67" s="4" t="str">
        <f t="shared" si="1"/>
        <v>2025-02</v>
      </c>
      <c r="C67" s="2" t="s">
        <v>81</v>
      </c>
      <c r="D67" s="6">
        <v>26.38</v>
      </c>
      <c r="E67" s="4" t="s">
        <v>28</v>
      </c>
      <c r="F67" s="7" t="str">
        <f t="array" ref="F67">IFERROR(
  INDEX(lookup_table!B:B,
        MATCH(TRUE,
              ISNUMBER(SEARCH(lookup_table!A:A,C67)),
        0)
  ),
"Uncategorized")
</f>
        <v>Shopping</v>
      </c>
      <c r="G67" s="1" t="s">
        <v>10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9">
        <v>45715.0</v>
      </c>
      <c r="B68" s="4" t="str">
        <f t="shared" si="1"/>
        <v>2025-02</v>
      </c>
      <c r="C68" s="2" t="s">
        <v>36</v>
      </c>
      <c r="D68" s="6">
        <v>39.95</v>
      </c>
      <c r="E68" s="4" t="s">
        <v>35</v>
      </c>
      <c r="F68" s="7" t="str">
        <f t="array" ref="F68">IFERROR(
  INDEX(lookup_table!B:B,
        MATCH(TRUE,
              ISNUMBER(SEARCH(lookup_table!A:A,C68)),
        0)
  ),
"Uncategorized")
</f>
        <v>Bills</v>
      </c>
      <c r="G68" s="1" t="s">
        <v>21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9">
        <v>45715.0</v>
      </c>
      <c r="B69" s="4" t="str">
        <f t="shared" si="1"/>
        <v>2025-02</v>
      </c>
      <c r="C69" s="2" t="s">
        <v>82</v>
      </c>
      <c r="D69" s="6">
        <v>57.97</v>
      </c>
      <c r="E69" s="4" t="s">
        <v>28</v>
      </c>
      <c r="F69" s="7" t="str">
        <f t="array" ref="F69">IFERROR(
  INDEX(lookup_table!B:B,
        MATCH(TRUE,
              ISNUMBER(SEARCH(lookup_table!A:A,C69)),
        0)
  ),
"Uncategorized")
</f>
        <v>Dining Out</v>
      </c>
      <c r="G69" s="1" t="s">
        <v>10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9">
        <v>45715.0</v>
      </c>
      <c r="B70" s="4" t="str">
        <f t="shared" si="1"/>
        <v>2025-02</v>
      </c>
      <c r="C70" s="2" t="s">
        <v>81</v>
      </c>
      <c r="D70" s="6">
        <v>18.99</v>
      </c>
      <c r="E70" s="4" t="s">
        <v>28</v>
      </c>
      <c r="F70" s="7" t="str">
        <f t="array" ref="F70">IFERROR(
  INDEX(lookup_table!B:B,
        MATCH(TRUE,
              ISNUMBER(SEARCH(lookup_table!A:A,C70)),
        0)
  ),
"Uncategorized")
</f>
        <v>Shopping</v>
      </c>
      <c r="G70" s="1" t="s">
        <v>10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9">
        <v>45716.0</v>
      </c>
      <c r="B71" s="4" t="str">
        <f t="shared" si="1"/>
        <v>2025-02</v>
      </c>
      <c r="C71" s="2" t="s">
        <v>83</v>
      </c>
      <c r="D71" s="6">
        <v>29.1</v>
      </c>
      <c r="E71" s="4" t="s">
        <v>23</v>
      </c>
      <c r="F71" s="7" t="str">
        <f t="array" ref="F71">IFERROR(
  INDEX(lookup_table!B:B,
        MATCH(TRUE,
              ISNUMBER(SEARCH(lookup_table!A:A,C71)),
        0)
  ),
"Uncategorized")
</f>
        <v>Entertainment</v>
      </c>
      <c r="G71" s="1" t="s">
        <v>10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9">
        <v>45716.0</v>
      </c>
      <c r="B72" s="4" t="str">
        <f t="shared" si="1"/>
        <v>2025-02</v>
      </c>
      <c r="C72" s="2" t="s">
        <v>48</v>
      </c>
      <c r="D72" s="6">
        <v>33.31</v>
      </c>
      <c r="E72" s="4" t="s">
        <v>23</v>
      </c>
      <c r="F72" s="7" t="str">
        <f t="array" ref="F72">IFERROR(
  INDEX(lookup_table!B:B,
        MATCH(TRUE,
              ISNUMBER(SEARCH(lookup_table!A:A,C72)),
        0)
  ),
"Uncategorized")
</f>
        <v>Groceries</v>
      </c>
      <c r="G72" s="1" t="s">
        <v>10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9">
        <v>45716.0</v>
      </c>
      <c r="B73" s="4" t="str">
        <f t="shared" si="1"/>
        <v>2025-02</v>
      </c>
      <c r="C73" s="2" t="s">
        <v>14</v>
      </c>
      <c r="D73" s="6">
        <v>9.26</v>
      </c>
      <c r="E73" s="4" t="s">
        <v>9</v>
      </c>
      <c r="F73" s="7" t="str">
        <f t="array" ref="F73">IFERROR(
  INDEX(lookup_table!B:B,
        MATCH(TRUE,
              ISNUMBER(SEARCH(lookup_table!A:A,C73)),
        0)
  ),
"Uncategorized")
</f>
        <v>Groceries</v>
      </c>
      <c r="G73" s="1" t="s">
        <v>21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9">
        <v>45717.0</v>
      </c>
      <c r="B74" s="4" t="str">
        <f t="shared" si="1"/>
        <v>2025-03</v>
      </c>
      <c r="C74" s="2" t="s">
        <v>14</v>
      </c>
      <c r="D74" s="6">
        <v>9.5</v>
      </c>
      <c r="E74" s="4" t="s">
        <v>9</v>
      </c>
      <c r="F74" s="7" t="str">
        <f t="array" ref="F74">IFERROR(
  INDEX(lookup_table!B:B,
        MATCH(TRUE,
              ISNUMBER(SEARCH(lookup_table!A:A,C74)),
        0)
  ),
"Uncategorized")
</f>
        <v>Groceries</v>
      </c>
      <c r="G74" s="1" t="s">
        <v>21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9">
        <v>45720.0</v>
      </c>
      <c r="B75" s="4" t="str">
        <f t="shared" si="1"/>
        <v>2025-03</v>
      </c>
      <c r="C75" s="2" t="s">
        <v>53</v>
      </c>
      <c r="D75" s="6">
        <v>7.6</v>
      </c>
      <c r="E75" s="4" t="s">
        <v>84</v>
      </c>
      <c r="F75" s="7" t="str">
        <f t="array" ref="F75">IFERROR(
  INDEX(lookup_table!B:B,
        MATCH(TRUE,
              ISNUMBER(SEARCH(lookup_table!A:A,C75)),
        0)
  ),
"Uncategorized")
</f>
        <v>Dining Out</v>
      </c>
      <c r="G75" s="1" t="s">
        <v>21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9">
        <v>45721.0</v>
      </c>
      <c r="B76" s="4" t="str">
        <f t="shared" si="1"/>
        <v>2025-03</v>
      </c>
      <c r="C76" s="2" t="s">
        <v>81</v>
      </c>
      <c r="D76" s="6">
        <v>26.38</v>
      </c>
      <c r="E76" s="4" t="s">
        <v>28</v>
      </c>
      <c r="F76" s="7" t="str">
        <f t="array" ref="F76">IFERROR(
  INDEX(lookup_table!B:B,
        MATCH(TRUE,
              ISNUMBER(SEARCH(lookup_table!A:A,C76)),
        0)
  ),
"Uncategorized")
</f>
        <v>Shopping</v>
      </c>
      <c r="G76" s="1" t="s">
        <v>10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8">
        <v>45722.0</v>
      </c>
      <c r="B77" s="4" t="str">
        <f t="shared" si="1"/>
        <v>2025-03</v>
      </c>
      <c r="C77" s="2" t="s">
        <v>29</v>
      </c>
      <c r="D77" s="6">
        <v>50.0</v>
      </c>
      <c r="E77" s="4" t="s">
        <v>30</v>
      </c>
      <c r="F77" s="7" t="str">
        <f t="array" ref="F77">IFERROR(
  INDEX(lookup_table!B:B,
        MATCH(TRUE,
              ISNUMBER(SEARCH(lookup_table!A:A,C77)),
        0)
  ),
"Uncategorized")
</f>
        <v>Bills</v>
      </c>
      <c r="G77" s="1" t="s">
        <v>13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8">
        <v>45722.0</v>
      </c>
      <c r="B78" s="4" t="str">
        <f t="shared" si="1"/>
        <v>2025-03</v>
      </c>
      <c r="C78" s="2" t="s">
        <v>31</v>
      </c>
      <c r="D78" s="6">
        <v>346.3</v>
      </c>
      <c r="E78" s="4" t="s">
        <v>32</v>
      </c>
      <c r="F78" s="7" t="str">
        <f t="array" ref="F78">IFERROR(
  INDEX(lookup_table!B:B,
        MATCH(TRUE,
              ISNUMBER(SEARCH(lookup_table!A:A,C78)),
        0)
  ),
"Uncategorized")
</f>
        <v>Bills</v>
      </c>
      <c r="G78" s="1" t="s">
        <v>13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9">
        <v>45722.0</v>
      </c>
      <c r="B79" s="4" t="str">
        <f t="shared" si="1"/>
        <v>2025-03</v>
      </c>
      <c r="C79" s="2" t="s">
        <v>85</v>
      </c>
      <c r="D79" s="6">
        <v>44.85</v>
      </c>
      <c r="E79" s="4" t="s">
        <v>84</v>
      </c>
      <c r="F79" s="7" t="str">
        <f t="array" ref="F79">IFERROR(
  INDEX(lookup_table!B:B,
        MATCH(TRUE,
              ISNUMBER(SEARCH(lookup_table!A:A,C79)),
        0)
  ),
"Uncategorized")
</f>
        <v>Groceries</v>
      </c>
      <c r="G79" s="1" t="s">
        <v>21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9">
        <v>45723.0</v>
      </c>
      <c r="B80" s="4" t="str">
        <f t="shared" si="1"/>
        <v>2025-03</v>
      </c>
      <c r="C80" s="2" t="s">
        <v>24</v>
      </c>
      <c r="D80" s="6">
        <v>21.07</v>
      </c>
      <c r="E80" s="4" t="s">
        <v>25</v>
      </c>
      <c r="F80" s="7" t="str">
        <f t="array" ref="F80">IFERROR(
  INDEX(lookup_table!B:B,
        MATCH(TRUE,
              ISNUMBER(SEARCH(lookup_table!A:A,C80)),
        0)
  ),
"Uncategorized")
</f>
        <v>Shopping</v>
      </c>
      <c r="G80" s="1" t="s">
        <v>21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9">
        <v>45723.0</v>
      </c>
      <c r="B81" s="4" t="str">
        <f t="shared" si="1"/>
        <v>2025-03</v>
      </c>
      <c r="C81" s="2" t="s">
        <v>54</v>
      </c>
      <c r="D81" s="6">
        <v>12.45</v>
      </c>
      <c r="E81" s="4" t="s">
        <v>23</v>
      </c>
      <c r="F81" s="7" t="str">
        <f t="array" ref="F81">IFERROR(
  INDEX(lookup_table!B:B,
        MATCH(TRUE,
              ISNUMBER(SEARCH(lookup_table!A:A,C81)),
        0)
  ),
"Uncategorized")
</f>
        <v>Travel</v>
      </c>
      <c r="G81" s="1" t="s">
        <v>10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8">
        <v>45723.0</v>
      </c>
      <c r="B82" s="4" t="str">
        <f t="shared" si="1"/>
        <v>2025-03</v>
      </c>
      <c r="C82" s="2" t="s">
        <v>86</v>
      </c>
      <c r="D82" s="6">
        <v>22.5</v>
      </c>
      <c r="E82" s="4" t="s">
        <v>87</v>
      </c>
      <c r="F82" s="7" t="str">
        <f t="array" ref="F82">IFERROR(
  INDEX(lookup_table!B:B,
        MATCH(TRUE,
              ISNUMBER(SEARCH(lookup_table!A:A,C82)),
        0)
  ),
"Uncategorized")
</f>
        <v>Withdrawal</v>
      </c>
      <c r="G82" s="1" t="s">
        <v>13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9">
        <v>45724.0</v>
      </c>
      <c r="B83" s="4" t="str">
        <f t="shared" si="1"/>
        <v>2025-03</v>
      </c>
      <c r="C83" s="2" t="s">
        <v>24</v>
      </c>
      <c r="D83" s="6">
        <v>9.48</v>
      </c>
      <c r="E83" s="4" t="s">
        <v>25</v>
      </c>
      <c r="F83" s="7" t="str">
        <f t="array" ref="F83">IFERROR(
  INDEX(lookup_table!B:B,
        MATCH(TRUE,
              ISNUMBER(SEARCH(lookup_table!A:A,C83)),
        0)
  ),
"Uncategorized")
</f>
        <v>Shopping</v>
      </c>
      <c r="G83" s="1" t="s">
        <v>21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8">
        <v>45725.0</v>
      </c>
      <c r="B84" s="4" t="str">
        <f t="shared" si="1"/>
        <v>2025-03</v>
      </c>
      <c r="C84" s="2" t="s">
        <v>33</v>
      </c>
      <c r="D84" s="6">
        <v>14.74</v>
      </c>
      <c r="E84" s="4" t="s">
        <v>50</v>
      </c>
      <c r="F84" s="7" t="str">
        <f t="array" ref="F84">IFERROR(
  INDEX(lookup_table!B:B,
        MATCH(TRUE,
              ISNUMBER(SEARCH(lookup_table!A:A,C84)),
        0)
  ),
"Uncategorized")
</f>
        <v>Dining Out</v>
      </c>
      <c r="G84" s="1" t="s">
        <v>13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9">
        <v>45725.0</v>
      </c>
      <c r="B85" s="4" t="str">
        <f t="shared" si="1"/>
        <v>2025-03</v>
      </c>
      <c r="C85" s="2" t="s">
        <v>14</v>
      </c>
      <c r="D85" s="6">
        <v>5.78</v>
      </c>
      <c r="E85" s="4" t="s">
        <v>9</v>
      </c>
      <c r="F85" s="7" t="str">
        <f t="array" ref="F85">IFERROR(
  INDEX(lookup_table!B:B,
        MATCH(TRUE,
              ISNUMBER(SEARCH(lookup_table!A:A,C85)),
        0)
  ),
"Uncategorized")
</f>
        <v>Groceries</v>
      </c>
      <c r="G85" s="1" t="s">
        <v>21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9">
        <v>45726.0</v>
      </c>
      <c r="B86" s="4" t="str">
        <f t="shared" si="1"/>
        <v>2025-03</v>
      </c>
      <c r="C86" s="2" t="s">
        <v>34</v>
      </c>
      <c r="D86" s="6">
        <v>339.35</v>
      </c>
      <c r="E86" s="4" t="s">
        <v>35</v>
      </c>
      <c r="F86" s="7" t="str">
        <f t="array" ref="F86">IFERROR(
  INDEX(lookup_table!B:B,
        MATCH(TRUE,
              ISNUMBER(SEARCH(lookup_table!A:A,C86)),
        0)
  ),
"Uncategorized")
</f>
        <v>Bills</v>
      </c>
      <c r="G86" s="1" t="s">
        <v>21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9">
        <v>45726.0</v>
      </c>
      <c r="B87" s="4" t="str">
        <f t="shared" si="1"/>
        <v>2025-03</v>
      </c>
      <c r="C87" s="2" t="s">
        <v>88</v>
      </c>
      <c r="D87" s="6">
        <v>15.81</v>
      </c>
      <c r="E87" s="4" t="s">
        <v>23</v>
      </c>
      <c r="F87" s="7" t="str">
        <f t="array" ref="F87">IFERROR(
  INDEX(lookup_table!B:B,
        MATCH(TRUE,
              ISNUMBER(SEARCH(lookup_table!A:A,C87)),
        0)
  ),
"Uncategorized")
</f>
        <v>Dining Out</v>
      </c>
      <c r="G87" s="1" t="s">
        <v>10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9">
        <v>45726.0</v>
      </c>
      <c r="B88" s="4" t="str">
        <f t="shared" si="1"/>
        <v>2025-03</v>
      </c>
      <c r="C88" s="2" t="s">
        <v>89</v>
      </c>
      <c r="D88" s="6">
        <v>82.69</v>
      </c>
      <c r="E88" s="4" t="s">
        <v>9</v>
      </c>
      <c r="F88" s="7" t="str">
        <f t="array" ref="F88">IFERROR(
  INDEX(lookup_table!B:B,
        MATCH(TRUE,
              ISNUMBER(SEARCH(lookup_table!A:A,C88)),
        0)
  ),
"Uncategorized")
</f>
        <v>Dining Out</v>
      </c>
      <c r="G88" s="1" t="s">
        <v>21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8">
        <v>45726.0</v>
      </c>
      <c r="B89" s="4" t="str">
        <f t="shared" si="1"/>
        <v>2025-03</v>
      </c>
      <c r="C89" s="2" t="s">
        <v>90</v>
      </c>
      <c r="D89" s="6">
        <v>1.89</v>
      </c>
      <c r="E89" s="4" t="s">
        <v>50</v>
      </c>
      <c r="F89" s="7" t="str">
        <f t="array" ref="F89">IFERROR(
  INDEX(lookup_table!B:B,
        MATCH(TRUE,
              ISNUMBER(SEARCH(lookup_table!A:A,C89)),
        0)
  ),
"Uncategorized")
</f>
        <v>Groceries</v>
      </c>
      <c r="G89" s="1" t="s">
        <v>13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9">
        <v>45726.0</v>
      </c>
      <c r="B90" s="4" t="str">
        <f t="shared" si="1"/>
        <v>2025-03</v>
      </c>
      <c r="C90" s="2" t="s">
        <v>24</v>
      </c>
      <c r="D90" s="6">
        <v>21.09</v>
      </c>
      <c r="E90" s="4" t="s">
        <v>25</v>
      </c>
      <c r="F90" s="7" t="str">
        <f t="array" ref="F90">IFERROR(
  INDEX(lookup_table!B:B,
        MATCH(TRUE,
              ISNUMBER(SEARCH(lookup_table!A:A,C90)),
        0)
  ),
"Uncategorized")
</f>
        <v>Shopping</v>
      </c>
      <c r="G90" s="1" t="s">
        <v>21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9">
        <v>45727.0</v>
      </c>
      <c r="B91" s="4" t="str">
        <f t="shared" si="1"/>
        <v>2025-03</v>
      </c>
      <c r="C91" s="2" t="s">
        <v>53</v>
      </c>
      <c r="D91" s="6">
        <v>7.39</v>
      </c>
      <c r="E91" s="4" t="s">
        <v>84</v>
      </c>
      <c r="F91" s="7" t="str">
        <f t="array" ref="F91">IFERROR(
  INDEX(lookup_table!B:B,
        MATCH(TRUE,
              ISNUMBER(SEARCH(lookup_table!A:A,C91)),
        0)
  ),
"Uncategorized")
</f>
        <v>Dining Out</v>
      </c>
      <c r="G91" s="1" t="s">
        <v>21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9">
        <v>45727.0</v>
      </c>
      <c r="B92" s="4" t="str">
        <f t="shared" si="1"/>
        <v>2025-03</v>
      </c>
      <c r="C92" s="2" t="s">
        <v>91</v>
      </c>
      <c r="D92" s="6">
        <v>10.01</v>
      </c>
      <c r="E92" s="4" t="s">
        <v>28</v>
      </c>
      <c r="F92" s="7" t="str">
        <f t="array" ref="F92">IFERROR(
  INDEX(lookup_table!B:B,
        MATCH(TRUE,
              ISNUMBER(SEARCH(lookup_table!A:A,C92)),
        0)
  ),
"Uncategorized")
</f>
        <v>Dining Out</v>
      </c>
      <c r="G92" s="1" t="s">
        <v>10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9">
        <v>45728.0</v>
      </c>
      <c r="B93" s="4" t="str">
        <f t="shared" si="1"/>
        <v>2025-03</v>
      </c>
      <c r="C93" s="2" t="s">
        <v>81</v>
      </c>
      <c r="D93" s="6">
        <v>7.39</v>
      </c>
      <c r="E93" s="4" t="s">
        <v>28</v>
      </c>
      <c r="F93" s="7" t="str">
        <f t="array" ref="F93">IFERROR(
  INDEX(lookup_table!B:B,
        MATCH(TRUE,
              ISNUMBER(SEARCH(lookup_table!A:A,C93)),
        0)
  ),
"Uncategorized")
</f>
        <v>Shopping</v>
      </c>
      <c r="G93" s="1" t="s">
        <v>10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9">
        <v>45728.0</v>
      </c>
      <c r="B94" s="4" t="str">
        <f t="shared" si="1"/>
        <v>2025-03</v>
      </c>
      <c r="C94" s="2" t="s">
        <v>81</v>
      </c>
      <c r="D94" s="6">
        <v>26.38</v>
      </c>
      <c r="E94" s="4" t="s">
        <v>28</v>
      </c>
      <c r="F94" s="7" t="str">
        <f t="array" ref="F94">IFERROR(
  INDEX(lookup_table!B:B,
        MATCH(TRUE,
              ISNUMBER(SEARCH(lookup_table!A:A,C94)),
        0)
  ),
"Uncategorized")
</f>
        <v>Shopping</v>
      </c>
      <c r="G94" s="1" t="s">
        <v>10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8">
        <v>45729.0</v>
      </c>
      <c r="B95" s="4" t="str">
        <f t="shared" si="1"/>
        <v>2025-03</v>
      </c>
      <c r="C95" s="2" t="s">
        <v>92</v>
      </c>
      <c r="D95" s="6">
        <v>4.35</v>
      </c>
      <c r="E95" s="4" t="s">
        <v>50</v>
      </c>
      <c r="F95" s="7" t="str">
        <f t="array" ref="F95">IFERROR(
  INDEX(lookup_table!B:B,
        MATCH(TRUE,
              ISNUMBER(SEARCH(lookup_table!A:A,C95)),
        0)
  ),
"Uncategorized")
</f>
        <v>Groceries</v>
      </c>
      <c r="G95" s="1" t="s">
        <v>13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9">
        <v>45729.0</v>
      </c>
      <c r="B96" s="4" t="str">
        <f t="shared" si="1"/>
        <v>2025-03</v>
      </c>
      <c r="C96" s="2" t="s">
        <v>81</v>
      </c>
      <c r="D96" s="6">
        <v>36.93</v>
      </c>
      <c r="E96" s="4" t="s">
        <v>28</v>
      </c>
      <c r="F96" s="7" t="str">
        <f t="array" ref="F96">IFERROR(
  INDEX(lookup_table!B:B,
        MATCH(TRUE,
              ISNUMBER(SEARCH(lookup_table!A:A,C96)),
        0)
  ),
"Uncategorized")
</f>
        <v>Shopping</v>
      </c>
      <c r="G96" s="1" t="s">
        <v>10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9">
        <v>45729.0</v>
      </c>
      <c r="B97" s="4" t="str">
        <f t="shared" si="1"/>
        <v>2025-03</v>
      </c>
      <c r="C97" s="2" t="s">
        <v>81</v>
      </c>
      <c r="D97" s="6">
        <v>36.93</v>
      </c>
      <c r="E97" s="4" t="s">
        <v>28</v>
      </c>
      <c r="F97" s="7" t="str">
        <f t="array" ref="F97">IFERROR(
  INDEX(lookup_table!B:B,
        MATCH(TRUE,
              ISNUMBER(SEARCH(lookup_table!A:A,C97)),
        0)
  ),
"Uncategorized")
</f>
        <v>Shopping</v>
      </c>
      <c r="G97" s="1" t="s">
        <v>10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9">
        <v>45729.0</v>
      </c>
      <c r="B98" s="4" t="str">
        <f t="shared" si="1"/>
        <v>2025-03</v>
      </c>
      <c r="C98" s="2" t="s">
        <v>81</v>
      </c>
      <c r="D98" s="6">
        <v>18.99</v>
      </c>
      <c r="E98" s="4" t="s">
        <v>28</v>
      </c>
      <c r="F98" s="7" t="str">
        <f t="array" ref="F98">IFERROR(
  INDEX(lookup_table!B:B,
        MATCH(TRUE,
              ISNUMBER(SEARCH(lookup_table!A:A,C98)),
        0)
  ),
"Uncategorized")
</f>
        <v>Shopping</v>
      </c>
      <c r="G98" s="1" t="s">
        <v>10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8">
        <v>45730.0</v>
      </c>
      <c r="B99" s="4" t="str">
        <f t="shared" si="1"/>
        <v>2025-03</v>
      </c>
      <c r="C99" s="2" t="s">
        <v>58</v>
      </c>
      <c r="D99" s="6">
        <v>872.5</v>
      </c>
      <c r="E99" s="4" t="s">
        <v>59</v>
      </c>
      <c r="F99" s="7" t="str">
        <f t="array" ref="F99">IFERROR(
  INDEX(lookup_table!B:B,
        MATCH(TRUE,
              ISNUMBER(SEARCH(lookup_table!A:A,C99)),
        0)
  ),
"Uncategorized")
</f>
        <v>Bills</v>
      </c>
      <c r="G99" s="1" t="s">
        <v>13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9">
        <v>45730.0</v>
      </c>
      <c r="B100" s="4" t="str">
        <f t="shared" si="1"/>
        <v>2025-03</v>
      </c>
      <c r="C100" s="2" t="s">
        <v>93</v>
      </c>
      <c r="D100" s="6">
        <v>30.64</v>
      </c>
      <c r="E100" s="4" t="s">
        <v>9</v>
      </c>
      <c r="F100" s="7" t="str">
        <f t="array" ref="F100">IFERROR(
  INDEX(lookup_table!B:B,
        MATCH(TRUE,
              ISNUMBER(SEARCH(lookup_table!A:A,C100)),
        0)
  ),
"Uncategorized")
</f>
        <v>Entertainment</v>
      </c>
      <c r="G100" s="1" t="s">
        <v>21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8">
        <v>45730.0</v>
      </c>
      <c r="B101" s="4" t="str">
        <f t="shared" si="1"/>
        <v>2025-03</v>
      </c>
      <c r="C101" s="2" t="s">
        <v>94</v>
      </c>
      <c r="D101" s="6">
        <v>6.12</v>
      </c>
      <c r="E101" s="4" t="s">
        <v>42</v>
      </c>
      <c r="F101" s="7" t="str">
        <f t="array" ref="F101">IFERROR(
  INDEX(lookup_table!B:B,
        MATCH(TRUE,
              ISNUMBER(SEARCH(lookup_table!A:A,C101)),
        0)
  ),
"Uncategorized")
</f>
        <v>Shopping</v>
      </c>
      <c r="G101" s="1" t="s">
        <v>13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9">
        <v>45731.0</v>
      </c>
      <c r="B102" s="4" t="str">
        <f t="shared" si="1"/>
        <v>2025-03</v>
      </c>
      <c r="C102" s="2" t="s">
        <v>95</v>
      </c>
      <c r="D102" s="6">
        <v>29.2</v>
      </c>
      <c r="E102" s="4" t="s">
        <v>40</v>
      </c>
      <c r="F102" s="7" t="str">
        <f t="array" ref="F102">IFERROR(
  INDEX(lookup_table!B:B,
        MATCH(TRUE,
              ISNUMBER(SEARCH(lookup_table!A:A,C102)),
        0)
  ),
"Uncategorized")
</f>
        <v>Dining Out</v>
      </c>
      <c r="G102" s="1" t="s">
        <v>10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8">
        <v>45731.0</v>
      </c>
      <c r="B103" s="4" t="str">
        <f t="shared" si="1"/>
        <v>2025-03</v>
      </c>
      <c r="C103" s="2" t="s">
        <v>92</v>
      </c>
      <c r="D103" s="6">
        <v>2.39</v>
      </c>
      <c r="E103" s="4" t="s">
        <v>50</v>
      </c>
      <c r="F103" s="7" t="str">
        <f t="array" ref="F103">IFERROR(
  INDEX(lookup_table!B:B,
        MATCH(TRUE,
              ISNUMBER(SEARCH(lookup_table!A:A,C103)),
        0)
  ),
"Uncategorized")
</f>
        <v>Groceries</v>
      </c>
      <c r="G103" s="1" t="s">
        <v>13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9">
        <v>45732.0</v>
      </c>
      <c r="B104" s="4" t="str">
        <f t="shared" si="1"/>
        <v>2025-03</v>
      </c>
      <c r="C104" s="2" t="s">
        <v>85</v>
      </c>
      <c r="D104" s="6">
        <v>30.23</v>
      </c>
      <c r="E104" s="4" t="s">
        <v>84</v>
      </c>
      <c r="F104" s="7" t="str">
        <f t="array" ref="F104">IFERROR(
  INDEX(lookup_table!B:B,
        MATCH(TRUE,
              ISNUMBER(SEARCH(lookup_table!A:A,C104)),
        0)
  ),
"Uncategorized")
</f>
        <v>Groceries</v>
      </c>
      <c r="G104" s="1" t="s">
        <v>21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8">
        <v>45733.0</v>
      </c>
      <c r="B105" s="4" t="str">
        <f t="shared" si="1"/>
        <v>2025-03</v>
      </c>
      <c r="C105" s="2" t="s">
        <v>96</v>
      </c>
      <c r="D105" s="6">
        <v>6.2</v>
      </c>
      <c r="E105" s="4" t="s">
        <v>17</v>
      </c>
      <c r="F105" s="7" t="str">
        <f t="array" ref="F105">IFERROR(
  INDEX(lookup_table!B:B,
        MATCH(TRUE,
              ISNUMBER(SEARCH(lookup_table!A:A,C105)),
        0)
  ),
"Uncategorized")
</f>
        <v>Dining Out</v>
      </c>
      <c r="G105" s="1" t="s">
        <v>13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9">
        <v>45734.0</v>
      </c>
      <c r="B106" s="4" t="str">
        <f t="shared" si="1"/>
        <v>2025-03</v>
      </c>
      <c r="C106" s="2" t="s">
        <v>81</v>
      </c>
      <c r="D106" s="6">
        <v>12.66</v>
      </c>
      <c r="E106" s="4" t="s">
        <v>28</v>
      </c>
      <c r="F106" s="7" t="str">
        <f t="array" ref="F106">IFERROR(
  INDEX(lookup_table!B:B,
        MATCH(TRUE,
              ISNUMBER(SEARCH(lookup_table!A:A,C106)),
        0)
  ),
"Uncategorized")
</f>
        <v>Shopping</v>
      </c>
      <c r="G106" s="1" t="s">
        <v>10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9">
        <v>45734.0</v>
      </c>
      <c r="B107" s="4" t="str">
        <f t="shared" si="1"/>
        <v>2025-03</v>
      </c>
      <c r="C107" s="2" t="s">
        <v>81</v>
      </c>
      <c r="D107" s="6">
        <v>25.31</v>
      </c>
      <c r="E107" s="4" t="s">
        <v>28</v>
      </c>
      <c r="F107" s="7" t="str">
        <f t="array" ref="F107">IFERROR(
  INDEX(lookup_table!B:B,
        MATCH(TRUE,
              ISNUMBER(SEARCH(lookup_table!A:A,C107)),
        0)
  ),
"Uncategorized")
</f>
        <v>Shopping</v>
      </c>
      <c r="G107" s="1" t="s">
        <v>10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9">
        <v>45735.0</v>
      </c>
      <c r="B108" s="4" t="str">
        <f t="shared" si="1"/>
        <v>2025-03</v>
      </c>
      <c r="C108" s="2" t="s">
        <v>97</v>
      </c>
      <c r="D108" s="6">
        <v>28.0</v>
      </c>
      <c r="E108" s="4" t="s">
        <v>9</v>
      </c>
      <c r="F108" s="7" t="str">
        <f t="array" ref="F108">IFERROR(
  INDEX(lookup_table!B:B,
        MATCH(TRUE,
              ISNUMBER(SEARCH(lookup_table!A:A,C108)),
        0)
  ),
"Uncategorized")
</f>
        <v>Dining Out</v>
      </c>
      <c r="G108" s="1" t="s">
        <v>10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9">
        <v>45736.0</v>
      </c>
      <c r="B109" s="4" t="str">
        <f t="shared" si="1"/>
        <v>2025-03</v>
      </c>
      <c r="C109" s="2" t="s">
        <v>98</v>
      </c>
      <c r="D109" s="6">
        <v>14.96</v>
      </c>
      <c r="E109" s="4" t="s">
        <v>63</v>
      </c>
      <c r="F109" s="7" t="str">
        <f t="array" ref="F109">IFERROR(
  INDEX(lookup_table!B:B,
        MATCH(TRUE,
              ISNUMBER(SEARCH(lookup_table!A:A,C109)),
        0)
  ),
"Uncategorized")
</f>
        <v>Shopping</v>
      </c>
      <c r="G109" s="1" t="s">
        <v>10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9">
        <v>45737.0</v>
      </c>
      <c r="B110" s="4" t="str">
        <f t="shared" si="1"/>
        <v>2025-03</v>
      </c>
      <c r="C110" s="2" t="s">
        <v>81</v>
      </c>
      <c r="D110" s="6">
        <v>58.82</v>
      </c>
      <c r="E110" s="4" t="s">
        <v>28</v>
      </c>
      <c r="F110" s="7" t="str">
        <f t="array" ref="F110">IFERROR(
  INDEX(lookup_table!B:B,
        MATCH(TRUE,
              ISNUMBER(SEARCH(lookup_table!A:A,C110)),
        0)
  ),
"Uncategorized")
</f>
        <v>Shopping</v>
      </c>
      <c r="G110" s="1" t="s">
        <v>10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9">
        <v>45737.0</v>
      </c>
      <c r="B111" s="4" t="str">
        <f t="shared" si="1"/>
        <v>2025-03</v>
      </c>
      <c r="C111" s="2" t="s">
        <v>99</v>
      </c>
      <c r="D111" s="6">
        <v>13.96</v>
      </c>
      <c r="E111" s="4" t="s">
        <v>9</v>
      </c>
      <c r="F111" s="7" t="str">
        <f t="array" ref="F111">IFERROR(
  INDEX(lookup_table!B:B,
        MATCH(TRUE,
              ISNUMBER(SEARCH(lookup_table!A:A,C111)),
        0)
  ),
"Uncategorized")
</f>
        <v>Transportation</v>
      </c>
      <c r="G111" s="1" t="s">
        <v>21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9">
        <v>45737.0</v>
      </c>
      <c r="B112" s="4" t="str">
        <f t="shared" si="1"/>
        <v>2025-03</v>
      </c>
      <c r="C112" s="2" t="s">
        <v>100</v>
      </c>
      <c r="D112" s="6">
        <v>14.98</v>
      </c>
      <c r="E112" s="4" t="s">
        <v>63</v>
      </c>
      <c r="F112" s="7" t="str">
        <f t="array" ref="F112">IFERROR(
  INDEX(lookup_table!B:B,
        MATCH(TRUE,
              ISNUMBER(SEARCH(lookup_table!A:A,C112)),
        0)
  ),
"Uncategorized")
</f>
        <v>Transportation</v>
      </c>
      <c r="G112" s="1" t="s">
        <v>10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9">
        <v>45739.0</v>
      </c>
      <c r="B113" s="4" t="str">
        <f t="shared" si="1"/>
        <v>2025-03</v>
      </c>
      <c r="C113" s="2" t="s">
        <v>91</v>
      </c>
      <c r="D113" s="6">
        <v>7.9</v>
      </c>
      <c r="E113" s="4" t="s">
        <v>28</v>
      </c>
      <c r="F113" s="7" t="str">
        <f t="array" ref="F113">IFERROR(
  INDEX(lookup_table!B:B,
        MATCH(TRUE,
              ISNUMBER(SEARCH(lookup_table!A:A,C113)),
        0)
  ),
"Uncategorized")
</f>
        <v>Dining Out</v>
      </c>
      <c r="G113" s="1" t="s">
        <v>10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8">
        <v>45739.0</v>
      </c>
      <c r="B114" s="4" t="str">
        <f t="shared" si="1"/>
        <v>2025-03</v>
      </c>
      <c r="C114" s="2" t="s">
        <v>101</v>
      </c>
      <c r="D114" s="6">
        <v>13.44</v>
      </c>
      <c r="E114" s="4" t="s">
        <v>87</v>
      </c>
      <c r="F114" s="7" t="str">
        <f t="array" ref="F114">IFERROR(
  INDEX(lookup_table!B:B,
        MATCH(TRUE,
              ISNUMBER(SEARCH(lookup_table!A:A,C114)),
        0)
  ),
"Uncategorized")
</f>
        <v>Dining Out</v>
      </c>
      <c r="G114" s="1" t="s">
        <v>13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8">
        <v>45739.0</v>
      </c>
      <c r="B115" s="4" t="str">
        <f t="shared" si="1"/>
        <v>2025-03</v>
      </c>
      <c r="C115" s="2" t="s">
        <v>101</v>
      </c>
      <c r="D115" s="6">
        <v>7.24</v>
      </c>
      <c r="E115" s="4" t="s">
        <v>87</v>
      </c>
      <c r="F115" s="7" t="str">
        <f t="array" ref="F115">IFERROR(
  INDEX(lookup_table!B:B,
        MATCH(TRUE,
              ISNUMBER(SEARCH(lookup_table!A:A,C115)),
        0)
  ),
"Uncategorized")
</f>
        <v>Dining Out</v>
      </c>
      <c r="G115" s="1" t="s">
        <v>13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9">
        <v>45739.0</v>
      </c>
      <c r="B116" s="4" t="str">
        <f t="shared" si="1"/>
        <v>2025-03</v>
      </c>
      <c r="C116" s="2" t="s">
        <v>102</v>
      </c>
      <c r="D116" s="6">
        <v>16.86</v>
      </c>
      <c r="E116" s="4" t="s">
        <v>9</v>
      </c>
      <c r="F116" s="7" t="str">
        <f t="array" ref="F116">IFERROR(
  INDEX(lookup_table!B:B,
        MATCH(TRUE,
              ISNUMBER(SEARCH(lookup_table!A:A,C116)),
        0)
  ),
"Uncategorized")
</f>
        <v>Dining Out</v>
      </c>
      <c r="G116" s="1" t="s">
        <v>21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9">
        <v>45739.0</v>
      </c>
      <c r="B117" s="4" t="str">
        <f t="shared" si="1"/>
        <v>2025-03</v>
      </c>
      <c r="C117" s="2" t="s">
        <v>83</v>
      </c>
      <c r="D117" s="6">
        <v>49.17</v>
      </c>
      <c r="E117" s="4" t="s">
        <v>23</v>
      </c>
      <c r="F117" s="7" t="str">
        <f t="array" ref="F117">IFERROR(
  INDEX(lookup_table!B:B,
        MATCH(TRUE,
              ISNUMBER(SEARCH(lookup_table!A:A,C117)),
        0)
  ),
"Uncategorized")
</f>
        <v>Entertainment</v>
      </c>
      <c r="G117" s="1" t="s">
        <v>10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9">
        <v>45739.0</v>
      </c>
      <c r="B118" s="4" t="str">
        <f t="shared" si="1"/>
        <v>2025-03</v>
      </c>
      <c r="C118" s="2" t="s">
        <v>48</v>
      </c>
      <c r="D118" s="6">
        <v>29.14</v>
      </c>
      <c r="E118" s="4" t="s">
        <v>23</v>
      </c>
      <c r="F118" s="7" t="str">
        <f t="array" ref="F118">IFERROR(
  INDEX(lookup_table!B:B,
        MATCH(TRUE,
              ISNUMBER(SEARCH(lookup_table!A:A,C118)),
        0)
  ),
"Uncategorized")
</f>
        <v>Groceries</v>
      </c>
      <c r="G118" s="1" t="s">
        <v>10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9">
        <v>45740.0</v>
      </c>
      <c r="B119" s="4" t="str">
        <f t="shared" si="1"/>
        <v>2025-03</v>
      </c>
      <c r="C119" s="2" t="s">
        <v>103</v>
      </c>
      <c r="D119" s="6">
        <v>70.98</v>
      </c>
      <c r="E119" s="4" t="s">
        <v>104</v>
      </c>
      <c r="F119" s="7" t="str">
        <f t="array" ref="F119">IFERROR(
  INDEX(lookup_table!B:B,
        MATCH(TRUE,
              ISNUMBER(SEARCH(lookup_table!A:A,C119)),
        0)
  ),
"Uncategorized")
</f>
        <v>Dining Out</v>
      </c>
      <c r="G119" s="1" t="s">
        <v>21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9">
        <v>45740.0</v>
      </c>
      <c r="B120" s="4" t="str">
        <f t="shared" si="1"/>
        <v>2025-03</v>
      </c>
      <c r="C120" s="2" t="s">
        <v>105</v>
      </c>
      <c r="D120" s="6">
        <v>69.0</v>
      </c>
      <c r="E120" s="4" t="s">
        <v>9</v>
      </c>
      <c r="F120" s="7" t="str">
        <f t="array" ref="F120">IFERROR(
  INDEX(lookup_table!B:B,
        MATCH(TRUE,
              ISNUMBER(SEARCH(lookup_table!A:A,C120)),
        0)
  ),
"Uncategorized")
</f>
        <v>Dining Out</v>
      </c>
      <c r="G120" s="1" t="s">
        <v>10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8">
        <v>45740.0</v>
      </c>
      <c r="B121" s="4" t="str">
        <f t="shared" si="1"/>
        <v>2025-03</v>
      </c>
      <c r="C121" s="2" t="s">
        <v>106</v>
      </c>
      <c r="D121" s="6">
        <v>5.0</v>
      </c>
      <c r="E121" s="4" t="s">
        <v>17</v>
      </c>
      <c r="F121" s="7" t="str">
        <f t="array" ref="F121">IFERROR(
  INDEX(lookup_table!B:B,
        MATCH(TRUE,
              ISNUMBER(SEARCH(lookup_table!A:A,C121)),
        0)
  ),
"Uncategorized")
</f>
        <v>Dining Out</v>
      </c>
      <c r="G121" s="1" t="s">
        <v>13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8">
        <v>45740.0</v>
      </c>
      <c r="B122" s="4" t="str">
        <f t="shared" si="1"/>
        <v>2025-03</v>
      </c>
      <c r="C122" s="2" t="s">
        <v>106</v>
      </c>
      <c r="D122" s="6">
        <v>7.0</v>
      </c>
      <c r="E122" s="4" t="s">
        <v>17</v>
      </c>
      <c r="F122" s="7" t="str">
        <f t="array" ref="F122">IFERROR(
  INDEX(lookup_table!B:B,
        MATCH(TRUE,
              ISNUMBER(SEARCH(lookup_table!A:A,C122)),
        0)
  ),
"Uncategorized")
</f>
        <v>Dining Out</v>
      </c>
      <c r="G122" s="1" t="s">
        <v>13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9">
        <v>45740.0</v>
      </c>
      <c r="B123" s="4" t="str">
        <f t="shared" si="1"/>
        <v>2025-03</v>
      </c>
      <c r="C123" s="2" t="s">
        <v>107</v>
      </c>
      <c r="D123" s="6">
        <v>30.13</v>
      </c>
      <c r="E123" s="4" t="s">
        <v>26</v>
      </c>
      <c r="F123" s="7" t="str">
        <f t="array" ref="F123">IFERROR(
  INDEX(lookup_table!B:B,
        MATCH(TRUE,
              ISNUMBER(SEARCH(lookup_table!A:A,C123)),
        0)
  ),
"Uncategorized")
</f>
        <v>Transportation</v>
      </c>
      <c r="G123" s="1" t="s">
        <v>10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9">
        <v>45740.0</v>
      </c>
      <c r="B124" s="4" t="str">
        <f t="shared" si="1"/>
        <v>2025-03</v>
      </c>
      <c r="C124" s="2" t="s">
        <v>108</v>
      </c>
      <c r="D124" s="6">
        <v>5.3</v>
      </c>
      <c r="E124" s="4" t="s">
        <v>26</v>
      </c>
      <c r="F124" s="7" t="str">
        <f t="array" ref="F124">IFERROR(
  INDEX(lookup_table!B:B,
        MATCH(TRUE,
              ISNUMBER(SEARCH(lookup_table!A:A,C124)),
        0)
  ),
"Uncategorized")
</f>
        <v>Transportation</v>
      </c>
      <c r="G124" s="1" t="s">
        <v>10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9">
        <v>45740.0</v>
      </c>
      <c r="B125" s="4" t="str">
        <f t="shared" si="1"/>
        <v>2025-03</v>
      </c>
      <c r="C125" s="2" t="s">
        <v>109</v>
      </c>
      <c r="D125" s="6">
        <v>48.52</v>
      </c>
      <c r="E125" s="4" t="s">
        <v>26</v>
      </c>
      <c r="F125" s="7" t="str">
        <f t="array" ref="F125">IFERROR(
  INDEX(lookup_table!B:B,
        MATCH(TRUE,
              ISNUMBER(SEARCH(lookup_table!A:A,C125)),
        0)
  ),
"Uncategorized")
</f>
        <v>Transportation</v>
      </c>
      <c r="G125" s="1" t="s">
        <v>10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8">
        <v>45740.0</v>
      </c>
      <c r="B126" s="4" t="str">
        <f t="shared" si="1"/>
        <v>2025-03</v>
      </c>
      <c r="C126" s="2" t="s">
        <v>110</v>
      </c>
      <c r="D126" s="6">
        <v>3.0</v>
      </c>
      <c r="E126" s="4" t="s">
        <v>12</v>
      </c>
      <c r="F126" s="7" t="str">
        <f t="array" ref="F126">IFERROR(
  INDEX(lookup_table!B:B,
        MATCH(TRUE,
              ISNUMBER(SEARCH(lookup_table!A:A,C126)),
        0)
  ),
"Uncategorized")
</f>
        <v>Transportation</v>
      </c>
      <c r="G126" s="1" t="s">
        <v>13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9">
        <v>45740.0</v>
      </c>
      <c r="B127" s="4" t="str">
        <f t="shared" si="1"/>
        <v>2025-03</v>
      </c>
      <c r="C127" s="2" t="s">
        <v>11</v>
      </c>
      <c r="D127" s="6">
        <v>42.34</v>
      </c>
      <c r="E127" s="4" t="s">
        <v>26</v>
      </c>
      <c r="F127" s="7" t="str">
        <f t="array" ref="F127">IFERROR(
  INDEX(lookup_table!B:B,
        MATCH(TRUE,
              ISNUMBER(SEARCH(lookup_table!A:A,C127)),
        0)
  ),
"Uncategorized")
</f>
        <v>Transportation</v>
      </c>
      <c r="G127" s="1" t="s">
        <v>10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9">
        <v>45741.0</v>
      </c>
      <c r="B128" s="4" t="str">
        <f t="shared" si="1"/>
        <v>2025-03</v>
      </c>
      <c r="C128" s="2" t="s">
        <v>111</v>
      </c>
      <c r="D128" s="6">
        <v>17.58</v>
      </c>
      <c r="E128" s="4" t="s">
        <v>26</v>
      </c>
      <c r="F128" s="7" t="str">
        <f t="array" ref="F128">IFERROR(
  INDEX(lookup_table!B:B,
        MATCH(TRUE,
              ISNUMBER(SEARCH(lookup_table!A:A,C128)),
        0)
  ),
"Uncategorized")
</f>
        <v>Dining Out</v>
      </c>
      <c r="G128" s="1" t="s">
        <v>10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9">
        <v>45741.0</v>
      </c>
      <c r="B129" s="4" t="str">
        <f t="shared" si="1"/>
        <v>2025-03</v>
      </c>
      <c r="C129" s="2" t="s">
        <v>112</v>
      </c>
      <c r="D129" s="6">
        <v>4.12</v>
      </c>
      <c r="E129" s="4" t="s">
        <v>23</v>
      </c>
      <c r="F129" s="7" t="str">
        <f t="array" ref="F129">IFERROR(
  INDEX(lookup_table!B:B,
        MATCH(TRUE,
              ISNUMBER(SEARCH(lookup_table!A:A,C129)),
        0)
  ),
"Uncategorized")
</f>
        <v>Shopping</v>
      </c>
      <c r="G129" s="1" t="s">
        <v>10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9">
        <v>45741.0</v>
      </c>
      <c r="B130" s="4" t="str">
        <f t="shared" si="1"/>
        <v>2025-03</v>
      </c>
      <c r="C130" s="2" t="s">
        <v>113</v>
      </c>
      <c r="D130" s="6">
        <v>23.37</v>
      </c>
      <c r="E130" s="4" t="s">
        <v>26</v>
      </c>
      <c r="F130" s="7" t="str">
        <f t="array" ref="F130">IFERROR(
  INDEX(lookup_table!B:B,
        MATCH(TRUE,
              ISNUMBER(SEARCH(lookup_table!A:A,C130)),
        0)
  ),
"Uncategorized")
</f>
        <v>Subscriptions</v>
      </c>
      <c r="G130" s="1" t="s">
        <v>10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8">
        <v>45741.0</v>
      </c>
      <c r="B131" s="4" t="str">
        <f t="shared" si="1"/>
        <v>2025-03</v>
      </c>
      <c r="C131" s="2" t="s">
        <v>110</v>
      </c>
      <c r="D131" s="6">
        <v>3.09</v>
      </c>
      <c r="E131" s="4" t="s">
        <v>87</v>
      </c>
      <c r="F131" s="7" t="str">
        <f t="array" ref="F131">IFERROR(
  INDEX(lookup_table!B:B,
        MATCH(TRUE,
              ISNUMBER(SEARCH(lookup_table!A:A,C131)),
        0)
  ),
"Uncategorized")
</f>
        <v>Transportation</v>
      </c>
      <c r="G131" s="1" t="s">
        <v>13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9">
        <v>45741.0</v>
      </c>
      <c r="B132" s="4" t="str">
        <f t="shared" si="1"/>
        <v>2025-03</v>
      </c>
      <c r="C132" s="2" t="s">
        <v>110</v>
      </c>
      <c r="D132" s="6">
        <v>45.69</v>
      </c>
      <c r="E132" s="4" t="s">
        <v>26</v>
      </c>
      <c r="F132" s="7" t="str">
        <f t="array" ref="F132">IFERROR(
  INDEX(lookup_table!B:B,
        MATCH(TRUE,
              ISNUMBER(SEARCH(lookup_table!A:A,C132)),
        0)
  ),
"Uncategorized")
</f>
        <v>Transportation</v>
      </c>
      <c r="G132" s="1" t="s">
        <v>10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9">
        <v>45741.0</v>
      </c>
      <c r="B133" s="4" t="str">
        <f t="shared" si="1"/>
        <v>2025-03</v>
      </c>
      <c r="C133" s="2" t="s">
        <v>110</v>
      </c>
      <c r="D133" s="6">
        <v>2.47</v>
      </c>
      <c r="E133" s="4" t="s">
        <v>26</v>
      </c>
      <c r="F133" s="7" t="str">
        <f t="array" ref="F133">IFERROR(
  INDEX(lookup_table!B:B,
        MATCH(TRUE,
              ISNUMBER(SEARCH(lookup_table!A:A,C133)),
        0)
  ),
"Uncategorized")
</f>
        <v>Transportation</v>
      </c>
      <c r="G133" s="1" t="s">
        <v>10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9">
        <v>45741.0</v>
      </c>
      <c r="B134" s="4" t="str">
        <f t="shared" si="1"/>
        <v>2025-03</v>
      </c>
      <c r="C134" s="2" t="s">
        <v>114</v>
      </c>
      <c r="D134" s="6">
        <v>4.74</v>
      </c>
      <c r="E134" s="4" t="s">
        <v>79</v>
      </c>
      <c r="F134" s="7" t="str">
        <f t="array" ref="F134">IFERROR(
  INDEX(lookup_table!B:B,
        MATCH(TRUE,
              ISNUMBER(SEARCH(lookup_table!A:A,C134)),
        0)
  ),
"Uncategorized")
</f>
        <v>Transportation</v>
      </c>
      <c r="G134" s="1" t="s">
        <v>10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9">
        <v>45741.0</v>
      </c>
      <c r="B135" s="4" t="str">
        <f t="shared" si="1"/>
        <v>2025-03</v>
      </c>
      <c r="C135" s="2" t="s">
        <v>115</v>
      </c>
      <c r="D135" s="6">
        <v>45.0</v>
      </c>
      <c r="E135" s="4" t="s">
        <v>116</v>
      </c>
      <c r="F135" s="7" t="str">
        <f t="array" ref="F135">IFERROR(
  INDEX(lookup_table!B:B,
        MATCH(TRUE,
              ISNUMBER(SEARCH(lookup_table!A:A,C135)),
        0)
  ),
"Uncategorized")
</f>
        <v>Travel</v>
      </c>
      <c r="G135" s="1" t="s">
        <v>10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8">
        <v>45741.0</v>
      </c>
      <c r="B136" s="4" t="str">
        <f t="shared" si="1"/>
        <v>2025-03</v>
      </c>
      <c r="C136" s="2" t="s">
        <v>117</v>
      </c>
      <c r="D136" s="6">
        <v>2.25</v>
      </c>
      <c r="E136" s="4" t="s">
        <v>87</v>
      </c>
      <c r="F136" s="7" t="str">
        <f t="array" ref="F136">IFERROR(
  INDEX(lookup_table!B:B,
        MATCH(TRUE,
              ISNUMBER(SEARCH(lookup_table!A:A,C136)),
        0)
  ),
"Uncategorized")
</f>
        <v>Travel</v>
      </c>
      <c r="G136" s="1" t="s">
        <v>13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8">
        <v>45741.0</v>
      </c>
      <c r="B137" s="4" t="str">
        <f t="shared" si="1"/>
        <v>2025-03</v>
      </c>
      <c r="C137" s="2" t="s">
        <v>86</v>
      </c>
      <c r="D137" s="6">
        <v>83.0</v>
      </c>
      <c r="E137" s="4" t="s">
        <v>87</v>
      </c>
      <c r="F137" s="7" t="str">
        <f t="array" ref="F137">IFERROR(
  INDEX(lookup_table!B:B,
        MATCH(TRUE,
              ISNUMBER(SEARCH(lookup_table!A:A,C137)),
        0)
  ),
"Uncategorized")
</f>
        <v>Withdrawal</v>
      </c>
      <c r="G137" s="1" t="s">
        <v>13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8">
        <v>45742.0</v>
      </c>
      <c r="B138" s="4" t="str">
        <f t="shared" si="1"/>
        <v>2025-03</v>
      </c>
      <c r="C138" s="2" t="s">
        <v>118</v>
      </c>
      <c r="D138" s="6">
        <v>8.83</v>
      </c>
      <c r="E138" s="4" t="s">
        <v>50</v>
      </c>
      <c r="F138" s="7" t="str">
        <f t="array" ref="F138">IFERROR(
  INDEX(lookup_table!B:B,
        MATCH(TRUE,
              ISNUMBER(SEARCH(lookup_table!A:A,C138)),
        0)
  ),
"Uncategorized")
</f>
        <v>Groceries</v>
      </c>
      <c r="G138" s="1" t="s">
        <v>13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9">
        <v>45742.0</v>
      </c>
      <c r="B139" s="4" t="str">
        <f t="shared" si="1"/>
        <v>2025-03</v>
      </c>
      <c r="C139" s="2" t="s">
        <v>119</v>
      </c>
      <c r="D139" s="6">
        <v>55.18</v>
      </c>
      <c r="E139" s="4" t="s">
        <v>9</v>
      </c>
      <c r="F139" s="7" t="str">
        <f t="array" ref="F139">IFERROR(
  INDEX(lookup_table!B:B,
        MATCH(TRUE,
              ISNUMBER(SEARCH(lookup_table!A:A,C139)),
        0)
  ),
"Uncategorized")
</f>
        <v>Groceries</v>
      </c>
      <c r="G139" s="1" t="s">
        <v>21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9">
        <v>45742.0</v>
      </c>
      <c r="B140" s="4" t="str">
        <f t="shared" si="1"/>
        <v>2025-03</v>
      </c>
      <c r="C140" s="10" t="s">
        <v>120</v>
      </c>
      <c r="D140" s="6">
        <v>6.0</v>
      </c>
      <c r="E140" s="4" t="s">
        <v>116</v>
      </c>
      <c r="F140" s="7" t="str">
        <f t="array" ref="F140">IFERROR(
  INDEX(lookup_table!B:B,
        MATCH(TRUE,
              ISNUMBER(SEARCH(lookup_table!A:A,C140)),
        0)
  ),
"Uncategorized")
</f>
        <v>Shopping</v>
      </c>
      <c r="G140" s="1" t="s">
        <v>10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9">
        <v>45742.0</v>
      </c>
      <c r="B141" s="4" t="str">
        <f t="shared" si="1"/>
        <v>2025-03</v>
      </c>
      <c r="C141" s="2" t="s">
        <v>121</v>
      </c>
      <c r="D141" s="6">
        <v>30.15</v>
      </c>
      <c r="E141" s="4" t="s">
        <v>26</v>
      </c>
      <c r="F141" s="7" t="str">
        <f t="array" ref="F141">IFERROR(
  INDEX(lookup_table!B:B,
        MATCH(TRUE,
              ISNUMBER(SEARCH(lookup_table!A:A,C141)),
        0)
  ),
"Uncategorized")
</f>
        <v>Transportation</v>
      </c>
      <c r="G141" s="1" t="s">
        <v>10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9">
        <v>45743.0</v>
      </c>
      <c r="B142" s="4" t="str">
        <f t="shared" si="1"/>
        <v>2025-03</v>
      </c>
      <c r="C142" s="2" t="s">
        <v>36</v>
      </c>
      <c r="D142" s="6">
        <v>59.49</v>
      </c>
      <c r="E142" s="4" t="s">
        <v>35</v>
      </c>
      <c r="F142" s="7" t="str">
        <f t="array" ref="F142">IFERROR(
  INDEX(lookup_table!B:B,
        MATCH(TRUE,
              ISNUMBER(SEARCH(lookup_table!A:A,C142)),
        0)
  ),
"Uncategorized")
</f>
        <v>Bills</v>
      </c>
      <c r="G142" s="1" t="s">
        <v>21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9">
        <v>45743.0</v>
      </c>
      <c r="B143" s="4" t="str">
        <f t="shared" si="1"/>
        <v>2025-03</v>
      </c>
      <c r="C143" s="2" t="s">
        <v>122</v>
      </c>
      <c r="D143" s="6">
        <v>9.69</v>
      </c>
      <c r="E143" s="4" t="s">
        <v>9</v>
      </c>
      <c r="F143" s="7" t="str">
        <f t="array" ref="F143">IFERROR(
  INDEX(lookup_table!B:B,
        MATCH(TRUE,
              ISNUMBER(SEARCH(lookup_table!A:A,C143)),
        0)
  ),
"Uncategorized")
</f>
        <v>Groceries</v>
      </c>
      <c r="G143" s="1" t="s">
        <v>21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9">
        <v>45743.0</v>
      </c>
      <c r="B144" s="4" t="str">
        <f t="shared" si="1"/>
        <v>2025-03</v>
      </c>
      <c r="C144" s="2" t="s">
        <v>112</v>
      </c>
      <c r="D144" s="6">
        <v>16.22</v>
      </c>
      <c r="E144" s="4" t="s">
        <v>28</v>
      </c>
      <c r="F144" s="7" t="str">
        <f t="array" ref="F144">IFERROR(
  INDEX(lookup_table!B:B,
        MATCH(TRUE,
              ISNUMBER(SEARCH(lookup_table!A:A,C144)),
        0)
  ),
"Uncategorized")
</f>
        <v>Shopping</v>
      </c>
      <c r="G144" s="1" t="s">
        <v>10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8">
        <v>45743.0</v>
      </c>
      <c r="B145" s="4" t="str">
        <f t="shared" si="1"/>
        <v>2025-03</v>
      </c>
      <c r="C145" s="2" t="s">
        <v>123</v>
      </c>
      <c r="D145" s="6">
        <v>10.98</v>
      </c>
      <c r="E145" s="4" t="s">
        <v>42</v>
      </c>
      <c r="F145" s="7" t="str">
        <f t="array" ref="F145">IFERROR(
  INDEX(lookup_table!B:B,
        MATCH(TRUE,
              ISNUMBER(SEARCH(lookup_table!A:A,C145)),
        0)
  ),
"Uncategorized")
</f>
        <v>Travel</v>
      </c>
      <c r="G145" s="1" t="s">
        <v>13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9">
        <v>45744.0</v>
      </c>
      <c r="B146" s="4" t="str">
        <f t="shared" si="1"/>
        <v>2025-03</v>
      </c>
      <c r="C146" s="2" t="s">
        <v>124</v>
      </c>
      <c r="D146" s="6">
        <v>7.05</v>
      </c>
      <c r="E146" s="4" t="s">
        <v>9</v>
      </c>
      <c r="F146" s="7" t="str">
        <f t="array" ref="F146">IFERROR(
  INDEX(lookup_table!B:B,
        MATCH(TRUE,
              ISNUMBER(SEARCH(lookup_table!A:A,C146)),
        0)
  ),
"Uncategorized")
</f>
        <v>Dining Out</v>
      </c>
      <c r="G146" s="1" t="s">
        <v>21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9">
        <v>45744.0</v>
      </c>
      <c r="B147" s="4" t="str">
        <f t="shared" si="1"/>
        <v>2025-03</v>
      </c>
      <c r="C147" s="2" t="s">
        <v>121</v>
      </c>
      <c r="D147" s="6">
        <v>48.18</v>
      </c>
      <c r="E147" s="4" t="s">
        <v>26</v>
      </c>
      <c r="F147" s="7" t="str">
        <f t="array" ref="F147">IFERROR(
  INDEX(lookup_table!B:B,
        MATCH(TRUE,
              ISNUMBER(SEARCH(lookup_table!A:A,C147)),
        0)
  ),
"Uncategorized")
</f>
        <v>Transportation</v>
      </c>
      <c r="G147" s="1" t="s">
        <v>10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9">
        <v>45744.0</v>
      </c>
      <c r="B148" s="4" t="str">
        <f t="shared" si="1"/>
        <v>2025-03</v>
      </c>
      <c r="C148" s="2" t="s">
        <v>125</v>
      </c>
      <c r="D148" s="6">
        <v>167.56</v>
      </c>
      <c r="E148" s="4" t="s">
        <v>104</v>
      </c>
      <c r="F148" s="7" t="str">
        <f t="array" ref="F148">IFERROR(
  INDEX(lookup_table!B:B,
        MATCH(TRUE,
              ISNUMBER(SEARCH(lookup_table!A:A,C148)),
        0)
  ),
"Uncategorized")
</f>
        <v>Travel</v>
      </c>
      <c r="G148" s="1" t="s">
        <v>21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8">
        <v>45744.0</v>
      </c>
      <c r="B149" s="4" t="str">
        <f t="shared" si="1"/>
        <v>2025-03</v>
      </c>
      <c r="C149" s="2" t="s">
        <v>126</v>
      </c>
      <c r="D149" s="6">
        <v>10.65</v>
      </c>
      <c r="E149" s="4" t="s">
        <v>87</v>
      </c>
      <c r="F149" s="7" t="str">
        <f t="array" ref="F149">IFERROR(
  INDEX(lookup_table!B:B,
        MATCH(TRUE,
              ISNUMBER(SEARCH(lookup_table!A:A,C149)),
        0)
  ),
"Uncategorized")
</f>
        <v>Travel</v>
      </c>
      <c r="G149" s="1" t="s">
        <v>13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9">
        <v>45745.0</v>
      </c>
      <c r="B150" s="4" t="str">
        <f t="shared" si="1"/>
        <v>2025-03</v>
      </c>
      <c r="C150" s="2" t="s">
        <v>124</v>
      </c>
      <c r="D150" s="6">
        <v>21.24</v>
      </c>
      <c r="E150" s="4" t="s">
        <v>9</v>
      </c>
      <c r="F150" s="7" t="str">
        <f t="array" ref="F150">IFERROR(
  INDEX(lookup_table!B:B,
        MATCH(TRUE,
              ISNUMBER(SEARCH(lookup_table!A:A,C150)),
        0)
  ),
"Uncategorized")
</f>
        <v>Dining Out</v>
      </c>
      <c r="G150" s="1" t="s">
        <v>21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9">
        <v>45745.0</v>
      </c>
      <c r="B151" s="4" t="str">
        <f t="shared" si="1"/>
        <v>2025-03</v>
      </c>
      <c r="C151" s="2" t="s">
        <v>122</v>
      </c>
      <c r="D151" s="6">
        <v>30.0</v>
      </c>
      <c r="E151" s="4" t="s">
        <v>26</v>
      </c>
      <c r="F151" s="7" t="str">
        <f t="array" ref="F151">IFERROR(
  INDEX(lookup_table!B:B,
        MATCH(TRUE,
              ISNUMBER(SEARCH(lookup_table!A:A,C151)),
        0)
  ),
"Uncategorized")
</f>
        <v>Groceries</v>
      </c>
      <c r="G151" s="1" t="s">
        <v>10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9">
        <v>45745.0</v>
      </c>
      <c r="B152" s="4" t="str">
        <f t="shared" si="1"/>
        <v>2025-03</v>
      </c>
      <c r="C152" s="2" t="s">
        <v>127</v>
      </c>
      <c r="D152" s="6">
        <v>37.08</v>
      </c>
      <c r="E152" s="4" t="s">
        <v>26</v>
      </c>
      <c r="F152" s="7" t="str">
        <f t="array" ref="F152">IFERROR(
  INDEX(lookup_table!B:B,
        MATCH(TRUE,
              ISNUMBER(SEARCH(lookup_table!A:A,C152)),
        0)
  ),
"Uncategorized")
</f>
        <v>Transportation</v>
      </c>
      <c r="G152" s="1" t="s">
        <v>10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8">
        <v>45745.0</v>
      </c>
      <c r="B153" s="4" t="str">
        <f t="shared" si="1"/>
        <v>2025-03</v>
      </c>
      <c r="C153" s="2" t="s">
        <v>78</v>
      </c>
      <c r="D153" s="6">
        <v>2.9</v>
      </c>
      <c r="E153" s="4" t="s">
        <v>12</v>
      </c>
      <c r="F153" s="7" t="str">
        <f t="array" ref="F153">IFERROR(
  INDEX(lookup_table!B:B,
        MATCH(TRUE,
              ISNUMBER(SEARCH(lookup_table!A:A,C153)),
        0)
  ),
"Uncategorized")
</f>
        <v>Transportation</v>
      </c>
      <c r="G153" s="1" t="s">
        <v>13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8">
        <v>45745.0</v>
      </c>
      <c r="B154" s="4" t="str">
        <f t="shared" si="1"/>
        <v>2025-03</v>
      </c>
      <c r="C154" s="2" t="s">
        <v>128</v>
      </c>
      <c r="D154" s="6">
        <v>10.0</v>
      </c>
      <c r="E154" s="4" t="s">
        <v>129</v>
      </c>
      <c r="F154" s="7" t="str">
        <f t="array" ref="F154">IFERROR(
  INDEX(lookup_table!B:B,
        MATCH(TRUE,
              ISNUMBER(SEARCH(lookup_table!A:A,C154)),
        0)
  ),
"Uncategorized")
</f>
        <v>Travel</v>
      </c>
      <c r="G154" s="1" t="s">
        <v>13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9">
        <v>45745.0</v>
      </c>
      <c r="B155" s="4" t="str">
        <f t="shared" si="1"/>
        <v>2025-03</v>
      </c>
      <c r="C155" s="10" t="s">
        <v>130</v>
      </c>
      <c r="D155" s="6">
        <v>11.0</v>
      </c>
      <c r="E155" s="4" t="s">
        <v>40</v>
      </c>
      <c r="F155" s="7" t="str">
        <f t="array" ref="F155">IFERROR(
  INDEX(lookup_table!B:B,
        MATCH(TRUE,
              ISNUMBER(SEARCH(lookup_table!A:A,C155)),
        0)
  ),
"Uncategorized")
</f>
        <v>Travel</v>
      </c>
      <c r="G155" s="1" t="s">
        <v>10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9">
        <v>45746.0</v>
      </c>
      <c r="B156" s="4" t="str">
        <f t="shared" si="1"/>
        <v>2025-03</v>
      </c>
      <c r="C156" s="2" t="s">
        <v>124</v>
      </c>
      <c r="D156" s="6">
        <v>17.13</v>
      </c>
      <c r="E156" s="4" t="s">
        <v>9</v>
      </c>
      <c r="F156" s="7" t="str">
        <f t="array" ref="F156">IFERROR(
  INDEX(lookup_table!B:B,
        MATCH(TRUE,
              ISNUMBER(SEARCH(lookup_table!A:A,C156)),
        0)
  ),
"Uncategorized")
</f>
        <v>Dining Out</v>
      </c>
      <c r="G156" s="1" t="s">
        <v>21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9">
        <v>45746.0</v>
      </c>
      <c r="B157" s="4" t="str">
        <f t="shared" si="1"/>
        <v>2025-03</v>
      </c>
      <c r="C157" s="2" t="s">
        <v>131</v>
      </c>
      <c r="D157" s="6">
        <v>36.46</v>
      </c>
      <c r="E157" s="4" t="s">
        <v>9</v>
      </c>
      <c r="F157" s="7" t="str">
        <f t="array" ref="F157">IFERROR(
  INDEX(lookup_table!B:B,
        MATCH(TRUE,
              ISNUMBER(SEARCH(lookup_table!A:A,C157)),
        0)
  ),
"Uncategorized")
</f>
        <v>Dining Out</v>
      </c>
      <c r="G157" s="1" t="s">
        <v>21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8">
        <v>45746.0</v>
      </c>
      <c r="B158" s="4" t="str">
        <f t="shared" si="1"/>
        <v>2025-03</v>
      </c>
      <c r="C158" s="2" t="s">
        <v>111</v>
      </c>
      <c r="D158" s="6">
        <v>1.52</v>
      </c>
      <c r="E158" s="4" t="s">
        <v>87</v>
      </c>
      <c r="F158" s="7" t="str">
        <f t="array" ref="F158">IFERROR(
  INDEX(lookup_table!B:B,
        MATCH(TRUE,
              ISNUMBER(SEARCH(lookup_table!A:A,C158)),
        0)
  ),
"Uncategorized")
</f>
        <v>Dining Out</v>
      </c>
      <c r="G158" s="1" t="s">
        <v>13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9">
        <v>45746.0</v>
      </c>
      <c r="B159" s="4" t="str">
        <f t="shared" si="1"/>
        <v>2025-03</v>
      </c>
      <c r="C159" s="2" t="s">
        <v>127</v>
      </c>
      <c r="D159" s="6">
        <v>5.1</v>
      </c>
      <c r="E159" s="4" t="s">
        <v>26</v>
      </c>
      <c r="F159" s="7" t="str">
        <f t="array" ref="F159">IFERROR(
  INDEX(lookup_table!B:B,
        MATCH(TRUE,
              ISNUMBER(SEARCH(lookup_table!A:A,C159)),
        0)
  ),
"Uncategorized")
</f>
        <v>Transportation</v>
      </c>
      <c r="G159" s="1" t="s">
        <v>10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9">
        <v>45746.0</v>
      </c>
      <c r="B160" s="4" t="str">
        <f t="shared" si="1"/>
        <v>2025-03</v>
      </c>
      <c r="C160" s="2" t="s">
        <v>127</v>
      </c>
      <c r="D160" s="6">
        <v>43.49</v>
      </c>
      <c r="E160" s="4" t="s">
        <v>26</v>
      </c>
      <c r="F160" s="7" t="str">
        <f t="array" ref="F160">IFERROR(
  INDEX(lookup_table!B:B,
        MATCH(TRUE,
              ISNUMBER(SEARCH(lookup_table!A:A,C160)),
        0)
  ),
"Uncategorized")
</f>
        <v>Transportation</v>
      </c>
      <c r="G160" s="1" t="s">
        <v>10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8">
        <v>45746.0</v>
      </c>
      <c r="B161" s="4" t="str">
        <f t="shared" si="1"/>
        <v>2025-03</v>
      </c>
      <c r="C161" s="2" t="s">
        <v>132</v>
      </c>
      <c r="D161" s="6">
        <v>8.33</v>
      </c>
      <c r="E161" s="4" t="s">
        <v>12</v>
      </c>
      <c r="F161" s="7" t="str">
        <f t="array" ref="F161">IFERROR(
  INDEX(lookup_table!B:B,
        MATCH(TRUE,
              ISNUMBER(SEARCH(lookup_table!A:A,C161)),
        0)
  ),
"Uncategorized")
</f>
        <v>Transportation</v>
      </c>
      <c r="G161" s="1" t="s">
        <v>13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9">
        <v>45746.0</v>
      </c>
      <c r="B162" s="4" t="str">
        <f t="shared" si="1"/>
        <v>2025-03</v>
      </c>
      <c r="C162" s="2" t="s">
        <v>132</v>
      </c>
      <c r="D162" s="6">
        <v>36.71</v>
      </c>
      <c r="E162" s="4" t="s">
        <v>26</v>
      </c>
      <c r="F162" s="7" t="str">
        <f t="array" ref="F162">IFERROR(
  INDEX(lookup_table!B:B,
        MATCH(TRUE,
              ISNUMBER(SEARCH(lookup_table!A:A,C162)),
        0)
  ),
"Uncategorized")
</f>
        <v>Transportation</v>
      </c>
      <c r="G162" s="1" t="s">
        <v>10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8">
        <v>45746.0</v>
      </c>
      <c r="B163" s="4" t="str">
        <f t="shared" si="1"/>
        <v>2025-03</v>
      </c>
      <c r="C163" s="2" t="s">
        <v>133</v>
      </c>
      <c r="D163" s="6">
        <v>29.0</v>
      </c>
      <c r="E163" s="4" t="s">
        <v>129</v>
      </c>
      <c r="F163" s="7" t="str">
        <f t="array" ref="F163">IFERROR(
  INDEX(lookup_table!B:B,
        MATCH(TRUE,
              ISNUMBER(SEARCH(lookup_table!A:A,C163)),
        0)
  ),
"Uncategorized")
</f>
        <v>Travel</v>
      </c>
      <c r="G163" s="1" t="s">
        <v>13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8">
        <v>45746.0</v>
      </c>
      <c r="B164" s="4" t="str">
        <f t="shared" si="1"/>
        <v>2025-03</v>
      </c>
      <c r="C164" s="2" t="s">
        <v>134</v>
      </c>
      <c r="D164" s="6">
        <v>55.32</v>
      </c>
      <c r="E164" s="4" t="s">
        <v>87</v>
      </c>
      <c r="F164" s="7" t="str">
        <f t="array" ref="F164">IFERROR(
  INDEX(lookup_table!B:B,
        MATCH(TRUE,
              ISNUMBER(SEARCH(lookup_table!A:A,C164)),
        0)
  ),
"Uncategorized")
</f>
        <v>Travel</v>
      </c>
      <c r="G164" s="1" t="s">
        <v>13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9">
        <v>45747.0</v>
      </c>
      <c r="B165" s="4" t="str">
        <f t="shared" si="1"/>
        <v>2025-03</v>
      </c>
      <c r="C165" s="2" t="s">
        <v>135</v>
      </c>
      <c r="D165" s="6">
        <v>6.42</v>
      </c>
      <c r="E165" s="4" t="s">
        <v>9</v>
      </c>
      <c r="F165" s="7" t="str">
        <f t="array" ref="F165">IFERROR(
  INDEX(lookup_table!B:B,
        MATCH(TRUE,
              ISNUMBER(SEARCH(lookup_table!A:A,C165)),
        0)
  ),
"Uncategorized")
</f>
        <v>Dining Out</v>
      </c>
      <c r="G165" s="1" t="s">
        <v>21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9">
        <v>45748.0</v>
      </c>
      <c r="B166" s="4" t="str">
        <f t="shared" si="1"/>
        <v>2025-04</v>
      </c>
      <c r="C166" s="2" t="s">
        <v>85</v>
      </c>
      <c r="D166" s="6">
        <v>48.34</v>
      </c>
      <c r="E166" s="4" t="s">
        <v>84</v>
      </c>
      <c r="F166" s="7" t="str">
        <f t="array" ref="F166">IFERROR(
  INDEX(lookup_table!B:B,
        MATCH(TRUE,
              ISNUMBER(SEARCH(lookup_table!A:A,C166)),
        0)
  ),
"Uncategorized")
</f>
        <v>Groceries</v>
      </c>
      <c r="G166" s="1" t="s">
        <v>21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9">
        <v>45749.0</v>
      </c>
      <c r="B167" s="4" t="str">
        <f t="shared" si="1"/>
        <v>2025-04</v>
      </c>
      <c r="C167" s="2" t="s">
        <v>55</v>
      </c>
      <c r="D167" s="6">
        <v>109.07</v>
      </c>
      <c r="E167" s="4" t="s">
        <v>28</v>
      </c>
      <c r="F167" s="7" t="str">
        <f t="array" ref="F167">IFERROR(
  INDEX(lookup_table!B:B,
        MATCH(TRUE,
              ISNUMBER(SEARCH(lookup_table!A:A,C167)),
        0)
  ),
"Uncategorized")
</f>
        <v>Transportation</v>
      </c>
      <c r="G167" s="1" t="s">
        <v>10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9">
        <v>45750.0</v>
      </c>
      <c r="B168" s="4" t="str">
        <f t="shared" si="1"/>
        <v>2025-04</v>
      </c>
      <c r="C168" s="2" t="s">
        <v>103</v>
      </c>
      <c r="D168" s="6">
        <v>9.71</v>
      </c>
      <c r="E168" s="4" t="s">
        <v>25</v>
      </c>
      <c r="F168" s="7" t="str">
        <f t="array" ref="F168">IFERROR(
  INDEX(lookup_table!B:B,
        MATCH(TRUE,
              ISNUMBER(SEARCH(lookup_table!A:A,C168)),
        0)
  ),
"Uncategorized")
</f>
        <v>Dining Out</v>
      </c>
      <c r="G168" s="1" t="s">
        <v>21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9">
        <v>45750.0</v>
      </c>
      <c r="B169" s="4" t="str">
        <f t="shared" si="1"/>
        <v>2025-04</v>
      </c>
      <c r="C169" s="2" t="s">
        <v>136</v>
      </c>
      <c r="D169" s="6">
        <v>29.07</v>
      </c>
      <c r="E169" s="4" t="s">
        <v>28</v>
      </c>
      <c r="F169" s="7" t="str">
        <f t="array" ref="F169">IFERROR(
  INDEX(lookup_table!B:B,
        MATCH(TRUE,
              ISNUMBER(SEARCH(lookup_table!A:A,C169)),
        0)
  ),
"Uncategorized")
</f>
        <v>Dining Out</v>
      </c>
      <c r="G169" s="1" t="s">
        <v>10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9">
        <v>45750.0</v>
      </c>
      <c r="B170" s="4" t="str">
        <f t="shared" si="1"/>
        <v>2025-04</v>
      </c>
      <c r="C170" s="2" t="s">
        <v>137</v>
      </c>
      <c r="D170" s="6">
        <v>41.39</v>
      </c>
      <c r="E170" s="4" t="s">
        <v>9</v>
      </c>
      <c r="F170" s="7" t="str">
        <f t="array" ref="F170">IFERROR(
  INDEX(lookup_table!B:B,
        MATCH(TRUE,
              ISNUMBER(SEARCH(lookup_table!A:A,C170)),
        0)
  ),
"Uncategorized")
</f>
        <v>Dining Out</v>
      </c>
      <c r="G170" s="1" t="s">
        <v>21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9">
        <v>45750.0</v>
      </c>
      <c r="B171" s="4" t="str">
        <f t="shared" si="1"/>
        <v>2025-04</v>
      </c>
      <c r="C171" s="2" t="s">
        <v>81</v>
      </c>
      <c r="D171" s="6">
        <v>42.2</v>
      </c>
      <c r="E171" s="4" t="s">
        <v>28</v>
      </c>
      <c r="F171" s="7" t="str">
        <f t="array" ref="F171">IFERROR(
  INDEX(lookup_table!B:B,
        MATCH(TRUE,
              ISNUMBER(SEARCH(lookup_table!A:A,C171)),
        0)
  ),
"Uncategorized")
</f>
        <v>Shopping</v>
      </c>
      <c r="G171" s="1" t="s">
        <v>10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8">
        <v>45750.0</v>
      </c>
      <c r="B172" s="4" t="str">
        <f t="shared" si="1"/>
        <v>2025-04</v>
      </c>
      <c r="C172" s="2" t="s">
        <v>138</v>
      </c>
      <c r="D172" s="6">
        <v>4.17</v>
      </c>
      <c r="E172" s="4" t="s">
        <v>139</v>
      </c>
      <c r="F172" s="7" t="str">
        <f t="array" ref="F172">IFERROR(
  INDEX(lookup_table!B:B,
        MATCH(TRUE,
              ISNUMBER(SEARCH(lookup_table!A:A,C172)),
        0)
  ),
"Uncategorized")
</f>
        <v>Shopping</v>
      </c>
      <c r="G172" s="1" t="s">
        <v>13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9">
        <v>45750.0</v>
      </c>
      <c r="B173" s="4" t="str">
        <f t="shared" si="1"/>
        <v>2025-04</v>
      </c>
      <c r="C173" s="2" t="s">
        <v>140</v>
      </c>
      <c r="D173" s="6">
        <v>16.92</v>
      </c>
      <c r="E173" s="4" t="s">
        <v>63</v>
      </c>
      <c r="F173" s="7" t="str">
        <f t="array" ref="F173">IFERROR(
  INDEX(lookup_table!B:B,
        MATCH(TRUE,
              ISNUMBER(SEARCH(lookup_table!A:A,C173)),
        0)
  ),
"Uncategorized")
</f>
        <v>Transportation</v>
      </c>
      <c r="G173" s="1" t="s">
        <v>10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9">
        <v>45750.0</v>
      </c>
      <c r="B174" s="4" t="str">
        <f t="shared" si="1"/>
        <v>2025-04</v>
      </c>
      <c r="C174" s="2" t="s">
        <v>140</v>
      </c>
      <c r="D174" s="6">
        <v>15.97</v>
      </c>
      <c r="E174" s="4" t="s">
        <v>63</v>
      </c>
      <c r="F174" s="7" t="str">
        <f t="array" ref="F174">IFERROR(
  INDEX(lookup_table!B:B,
        MATCH(TRUE,
              ISNUMBER(SEARCH(lookup_table!A:A,C174)),
        0)
  ),
"Uncategorized")
</f>
        <v>Transportation</v>
      </c>
      <c r="G174" s="1" t="s">
        <v>10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9">
        <v>45751.0</v>
      </c>
      <c r="B175" s="4" t="str">
        <f t="shared" si="1"/>
        <v>2025-04</v>
      </c>
      <c r="C175" s="2" t="s">
        <v>141</v>
      </c>
      <c r="D175" s="6">
        <v>75.29</v>
      </c>
      <c r="E175" s="4" t="s">
        <v>9</v>
      </c>
      <c r="F175" s="7" t="str">
        <f t="array" ref="F175">IFERROR(
  INDEX(lookup_table!B:B,
        MATCH(TRUE,
              ISNUMBER(SEARCH(lookup_table!A:A,C175)),
        0)
  ),
"Uncategorized")
</f>
        <v>Dining Out</v>
      </c>
      <c r="G175" s="1" t="s">
        <v>21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9">
        <v>45751.0</v>
      </c>
      <c r="B176" s="4" t="str">
        <f t="shared" si="1"/>
        <v>2025-04</v>
      </c>
      <c r="C176" s="2" t="s">
        <v>81</v>
      </c>
      <c r="D176" s="6">
        <v>6.33</v>
      </c>
      <c r="E176" s="4" t="s">
        <v>28</v>
      </c>
      <c r="F176" s="7" t="str">
        <f t="array" ref="F176">IFERROR(
  INDEX(lookup_table!B:B,
        MATCH(TRUE,
              ISNUMBER(SEARCH(lookup_table!A:A,C176)),
        0)
  ),
"Uncategorized")
</f>
        <v>Shopping</v>
      </c>
      <c r="G176" s="1" t="s">
        <v>10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8">
        <v>45752.0</v>
      </c>
      <c r="B177" s="4" t="str">
        <f t="shared" si="1"/>
        <v>2025-04</v>
      </c>
      <c r="C177" s="2" t="s">
        <v>142</v>
      </c>
      <c r="D177" s="6">
        <v>3.0</v>
      </c>
      <c r="E177" s="4" t="s">
        <v>50</v>
      </c>
      <c r="F177" s="7" t="str">
        <f t="array" ref="F177">IFERROR(
  INDEX(lookup_table!B:B,
        MATCH(TRUE,
              ISNUMBER(SEARCH(lookup_table!A:A,C177)),
        0)
  ),
"Uncategorized")
</f>
        <v>Groceries</v>
      </c>
      <c r="G177" s="1" t="s">
        <v>13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9">
        <v>45753.0</v>
      </c>
      <c r="B178" s="4" t="str">
        <f t="shared" si="1"/>
        <v>2025-04</v>
      </c>
      <c r="C178" s="2" t="s">
        <v>143</v>
      </c>
      <c r="D178" s="6">
        <v>34.45</v>
      </c>
      <c r="E178" s="4" t="s">
        <v>9</v>
      </c>
      <c r="F178" s="7" t="str">
        <f t="array" ref="F178">IFERROR(
  INDEX(lookup_table!B:B,
        MATCH(TRUE,
              ISNUMBER(SEARCH(lookup_table!A:A,C178)),
        0)
  ),
"Uncategorized")
</f>
        <v>Dining Out</v>
      </c>
      <c r="G178" s="1" t="s">
        <v>21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8">
        <v>45753.0</v>
      </c>
      <c r="B179" s="4" t="str">
        <f t="shared" si="1"/>
        <v>2025-04</v>
      </c>
      <c r="C179" s="2" t="s">
        <v>144</v>
      </c>
      <c r="D179" s="6">
        <v>4.21</v>
      </c>
      <c r="E179" s="4" t="s">
        <v>87</v>
      </c>
      <c r="F179" s="7" t="str">
        <f t="array" ref="F179">IFERROR(
  INDEX(lookup_table!B:B,
        MATCH(TRUE,
              ISNUMBER(SEARCH(lookup_table!A:A,C179)),
        0)
  ),
"Uncategorized")
</f>
        <v>Groceries</v>
      </c>
      <c r="G179" s="1" t="s">
        <v>13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9">
        <v>45754.0</v>
      </c>
      <c r="B180" s="4" t="str">
        <f t="shared" si="1"/>
        <v>2025-04</v>
      </c>
      <c r="C180" s="2" t="s">
        <v>34</v>
      </c>
      <c r="D180" s="6">
        <v>248.08</v>
      </c>
      <c r="E180" s="4" t="s">
        <v>35</v>
      </c>
      <c r="F180" s="7" t="str">
        <f t="array" ref="F180">IFERROR(
  INDEX(lookup_table!B:B,
        MATCH(TRUE,
              ISNUMBER(SEARCH(lookup_table!A:A,C180)),
        0)
  ),
"Uncategorized")
</f>
        <v>Bills</v>
      </c>
      <c r="G180" s="1" t="s">
        <v>21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9">
        <v>45754.0</v>
      </c>
      <c r="B181" s="4" t="str">
        <f t="shared" si="1"/>
        <v>2025-04</v>
      </c>
      <c r="C181" s="2" t="s">
        <v>85</v>
      </c>
      <c r="D181" s="6">
        <v>14.76</v>
      </c>
      <c r="E181" s="4" t="s">
        <v>84</v>
      </c>
      <c r="F181" s="7" t="str">
        <f t="array" ref="F181">IFERROR(
  INDEX(lookup_table!B:B,
        MATCH(TRUE,
              ISNUMBER(SEARCH(lookup_table!A:A,C181)),
        0)
  ),
"Uncategorized")
</f>
        <v>Groceries</v>
      </c>
      <c r="G181" s="1" t="s">
        <v>21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9">
        <v>45754.0</v>
      </c>
      <c r="B182" s="4" t="str">
        <f t="shared" si="1"/>
        <v>2025-04</v>
      </c>
      <c r="C182" s="2" t="s">
        <v>85</v>
      </c>
      <c r="D182" s="6">
        <v>61.15</v>
      </c>
      <c r="E182" s="4" t="s">
        <v>84</v>
      </c>
      <c r="F182" s="7" t="str">
        <f t="array" ref="F182">IFERROR(
  INDEX(lookup_table!B:B,
        MATCH(TRUE,
              ISNUMBER(SEARCH(lookup_table!A:A,C182)),
        0)
  ),
"Uncategorized")
</f>
        <v>Groceries</v>
      </c>
      <c r="G182" s="1" t="s">
        <v>21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8">
        <v>45754.0</v>
      </c>
      <c r="B183" s="4" t="str">
        <f t="shared" si="1"/>
        <v>2025-04</v>
      </c>
      <c r="C183" s="2" t="s">
        <v>145</v>
      </c>
      <c r="D183" s="6">
        <v>30.0</v>
      </c>
      <c r="E183" s="4" t="s">
        <v>45</v>
      </c>
      <c r="F183" s="7" t="str">
        <f t="array" ref="F183">IFERROR(
  INDEX(lookup_table!B:B,
        MATCH(TRUE,
              ISNUMBER(SEARCH(lookup_table!A:A,C183)),
        0)
  ),
"Uncategorized")
</f>
        <v>Transportation</v>
      </c>
      <c r="G183" s="1" t="s">
        <v>13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8">
        <v>45755.0</v>
      </c>
      <c r="B184" s="4" t="str">
        <f t="shared" si="1"/>
        <v>2025-04</v>
      </c>
      <c r="C184" s="2" t="s">
        <v>29</v>
      </c>
      <c r="D184" s="6">
        <v>50.0</v>
      </c>
      <c r="E184" s="4" t="s">
        <v>30</v>
      </c>
      <c r="F184" s="7" t="str">
        <f t="array" ref="F184">IFERROR(
  INDEX(lookup_table!B:B,
        MATCH(TRUE,
              ISNUMBER(SEARCH(lookup_table!A:A,C184)),
        0)
  ),
"Uncategorized")
</f>
        <v>Bills</v>
      </c>
      <c r="G184" s="1" t="s">
        <v>13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9">
        <v>45756.0</v>
      </c>
      <c r="B185" s="4" t="str">
        <f t="shared" si="1"/>
        <v>2025-04</v>
      </c>
      <c r="C185" s="2" t="s">
        <v>81</v>
      </c>
      <c r="D185" s="6">
        <v>26.38</v>
      </c>
      <c r="E185" s="4" t="s">
        <v>28</v>
      </c>
      <c r="F185" s="7" t="str">
        <f t="array" ref="F185">IFERROR(
  INDEX(lookup_table!B:B,
        MATCH(TRUE,
              ISNUMBER(SEARCH(lookup_table!A:A,C185)),
        0)
  ),
"Uncategorized")
</f>
        <v>Shopping</v>
      </c>
      <c r="G185" s="1" t="s">
        <v>10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8">
        <v>45757.0</v>
      </c>
      <c r="B186" s="4" t="str">
        <f t="shared" si="1"/>
        <v>2025-04</v>
      </c>
      <c r="C186" s="2" t="s">
        <v>31</v>
      </c>
      <c r="D186" s="6">
        <v>346.3</v>
      </c>
      <c r="E186" s="4" t="s">
        <v>32</v>
      </c>
      <c r="F186" s="7" t="str">
        <f t="array" ref="F186">IFERROR(
  INDEX(lookup_table!B:B,
        MATCH(TRUE,
              ISNUMBER(SEARCH(lookup_table!A:A,C186)),
        0)
  ),
"Uncategorized")
</f>
        <v>Bills</v>
      </c>
      <c r="G186" s="1" t="s">
        <v>13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9">
        <v>45758.0</v>
      </c>
      <c r="B187" s="4" t="str">
        <f t="shared" si="1"/>
        <v>2025-04</v>
      </c>
      <c r="C187" s="2" t="s">
        <v>146</v>
      </c>
      <c r="D187" s="6">
        <v>26.01</v>
      </c>
      <c r="E187" s="4" t="s">
        <v>9</v>
      </c>
      <c r="F187" s="7" t="str">
        <f t="array" ref="F187">IFERROR(
  INDEX(lookup_table!B:B,
        MATCH(TRUE,
              ISNUMBER(SEARCH(lookup_table!A:A,C187)),
        0)
  ),
"Uncategorized")
</f>
        <v>Dining Out</v>
      </c>
      <c r="G187" s="1" t="s">
        <v>21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8">
        <v>45758.0</v>
      </c>
      <c r="B188" s="4" t="str">
        <f t="shared" si="1"/>
        <v>2025-04</v>
      </c>
      <c r="C188" s="2" t="s">
        <v>147</v>
      </c>
      <c r="D188" s="6">
        <v>1.52</v>
      </c>
      <c r="E188" s="4" t="s">
        <v>148</v>
      </c>
      <c r="F188" s="7" t="str">
        <f t="array" ref="F188">IFERROR(
  INDEX(lookup_table!B:B,
        MATCH(TRUE,
              ISNUMBER(SEARCH(lookup_table!A:A,C188)),
        0)
  ),
"Uncategorized")
</f>
        <v>Entertainment</v>
      </c>
      <c r="G188" s="1" t="s">
        <v>13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9">
        <v>45758.0</v>
      </c>
      <c r="B189" s="4" t="str">
        <f t="shared" si="1"/>
        <v>2025-04</v>
      </c>
      <c r="C189" s="2" t="s">
        <v>81</v>
      </c>
      <c r="D189" s="6">
        <v>18.99</v>
      </c>
      <c r="E189" s="4" t="s">
        <v>28</v>
      </c>
      <c r="F189" s="7" t="str">
        <f t="array" ref="F189">IFERROR(
  INDEX(lookup_table!B:B,
        MATCH(TRUE,
              ISNUMBER(SEARCH(lookup_table!A:A,C189)),
        0)
  ),
"Uncategorized")
</f>
        <v>Shopping</v>
      </c>
      <c r="G189" s="1" t="s">
        <v>10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8">
        <v>45758.0</v>
      </c>
      <c r="B190" s="4" t="str">
        <f t="shared" si="1"/>
        <v>2025-04</v>
      </c>
      <c r="C190" s="2" t="s">
        <v>149</v>
      </c>
      <c r="D190" s="6">
        <v>7.1</v>
      </c>
      <c r="E190" s="4" t="s">
        <v>87</v>
      </c>
      <c r="F190" s="7" t="str">
        <f t="array" ref="F190">IFERROR(
  INDEX(lookup_table!B:B,
        MATCH(TRUE,
              ISNUMBER(SEARCH(lookup_table!A:A,C190)),
        0)
  ),
"Uncategorized")
</f>
        <v>Transportation</v>
      </c>
      <c r="G190" s="1" t="s">
        <v>13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8">
        <v>45760.0</v>
      </c>
      <c r="B191" s="4" t="str">
        <f t="shared" si="1"/>
        <v>2025-04</v>
      </c>
      <c r="C191" s="2" t="s">
        <v>49</v>
      </c>
      <c r="D191" s="6">
        <v>12.5</v>
      </c>
      <c r="E191" s="4" t="s">
        <v>50</v>
      </c>
      <c r="F191" s="7" t="str">
        <f t="array" ref="F191">IFERROR(
  INDEX(lookup_table!B:B,
        MATCH(TRUE,
              ISNUMBER(SEARCH(lookup_table!A:A,C191)),
        0)
  ),
"Uncategorized")
</f>
        <v>Groceries</v>
      </c>
      <c r="G191" s="1" t="s">
        <v>13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9">
        <v>45761.0</v>
      </c>
      <c r="B192" s="4" t="str">
        <f t="shared" si="1"/>
        <v>2025-04</v>
      </c>
      <c r="C192" s="2" t="s">
        <v>150</v>
      </c>
      <c r="D192" s="6">
        <v>17.0</v>
      </c>
      <c r="E192" s="4" t="s">
        <v>9</v>
      </c>
      <c r="F192" s="7" t="str">
        <f t="array" ref="F192">IFERROR(
  INDEX(lookup_table!B:B,
        MATCH(TRUE,
              ISNUMBER(SEARCH(lookup_table!A:A,C192)),
        0)
  ),
"Uncategorized")
</f>
        <v>Dining Out</v>
      </c>
      <c r="G192" s="1" t="s">
        <v>10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9">
        <v>45761.0</v>
      </c>
      <c r="B193" s="4" t="str">
        <f t="shared" si="1"/>
        <v>2025-04</v>
      </c>
      <c r="C193" s="2" t="s">
        <v>151</v>
      </c>
      <c r="D193" s="6">
        <v>11.0</v>
      </c>
      <c r="E193" s="4" t="s">
        <v>9</v>
      </c>
      <c r="F193" s="7" t="str">
        <f t="array" ref="F193">IFERROR(
  INDEX(lookup_table!B:B,
        MATCH(TRUE,
              ISNUMBER(SEARCH(lookup_table!A:A,C193)),
        0)
  ),
"Uncategorized")
</f>
        <v>Dining Out</v>
      </c>
      <c r="G193" s="1" t="s">
        <v>21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9">
        <v>45761.0</v>
      </c>
      <c r="B194" s="4" t="str">
        <f t="shared" si="1"/>
        <v>2025-04</v>
      </c>
      <c r="C194" s="2" t="s">
        <v>11</v>
      </c>
      <c r="D194" s="6">
        <v>45.59</v>
      </c>
      <c r="E194" s="4" t="s">
        <v>26</v>
      </c>
      <c r="F194" s="7" t="str">
        <f t="array" ref="F194">IFERROR(
  INDEX(lookup_table!B:B,
        MATCH(TRUE,
              ISNUMBER(SEARCH(lookup_table!A:A,C194)),
        0)
  ),
"Uncategorized")
</f>
        <v>Transportation</v>
      </c>
      <c r="G194" s="1" t="s">
        <v>10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8">
        <v>45762.0</v>
      </c>
      <c r="B195" s="4" t="str">
        <f t="shared" si="1"/>
        <v>2025-04</v>
      </c>
      <c r="C195" s="2" t="s">
        <v>58</v>
      </c>
      <c r="D195" s="6">
        <v>872.5</v>
      </c>
      <c r="E195" s="4" t="s">
        <v>59</v>
      </c>
      <c r="F195" s="7" t="str">
        <f t="array" ref="F195">IFERROR(
  INDEX(lookup_table!B:B,
        MATCH(TRUE,
              ISNUMBER(SEARCH(lookup_table!A:A,C195)),
        0)
  ),
"Uncategorized")
</f>
        <v>Bills</v>
      </c>
      <c r="G195" s="1" t="s">
        <v>13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9">
        <v>45762.0</v>
      </c>
      <c r="B196" s="4" t="str">
        <f t="shared" si="1"/>
        <v>2025-04</v>
      </c>
      <c r="C196" s="2" t="s">
        <v>152</v>
      </c>
      <c r="D196" s="6">
        <v>64.17</v>
      </c>
      <c r="E196" s="4" t="s">
        <v>9</v>
      </c>
      <c r="F196" s="7" t="str">
        <f t="array" ref="F196">IFERROR(
  INDEX(lookup_table!B:B,
        MATCH(TRUE,
              ISNUMBER(SEARCH(lookup_table!A:A,C196)),
        0)
  ),
"Uncategorized")
</f>
        <v>Dining Out</v>
      </c>
      <c r="G196" s="1" t="s">
        <v>10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9">
        <v>45762.0</v>
      </c>
      <c r="B197" s="4" t="str">
        <f t="shared" si="1"/>
        <v>2025-04</v>
      </c>
      <c r="C197" s="2" t="s">
        <v>91</v>
      </c>
      <c r="D197" s="6">
        <v>10.01</v>
      </c>
      <c r="E197" s="4" t="s">
        <v>28</v>
      </c>
      <c r="F197" s="7" t="str">
        <f t="array" ref="F197">IFERROR(
  INDEX(lookup_table!B:B,
        MATCH(TRUE,
              ISNUMBER(SEARCH(lookup_table!A:A,C197)),
        0)
  ),
"Uncategorized")
</f>
        <v>Dining Out</v>
      </c>
      <c r="G197" s="1" t="s">
        <v>10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8">
        <v>45763.0</v>
      </c>
      <c r="B198" s="4" t="str">
        <f t="shared" si="1"/>
        <v>2025-04</v>
      </c>
      <c r="C198" s="2" t="s">
        <v>11</v>
      </c>
      <c r="D198" s="6">
        <v>3.57</v>
      </c>
      <c r="E198" s="4" t="s">
        <v>12</v>
      </c>
      <c r="F198" s="7" t="str">
        <f t="array" ref="F198">IFERROR(
  INDEX(lookup_table!B:B,
        MATCH(TRUE,
              ISNUMBER(SEARCH(lookup_table!A:A,C198)),
        0)
  ),
"Uncategorized")
</f>
        <v>Transportation</v>
      </c>
      <c r="G198" s="1" t="s">
        <v>13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8">
        <v>45764.0</v>
      </c>
      <c r="B199" s="4" t="str">
        <f t="shared" si="1"/>
        <v>2025-04</v>
      </c>
      <c r="C199" s="2" t="s">
        <v>69</v>
      </c>
      <c r="D199" s="6">
        <v>10.32</v>
      </c>
      <c r="E199" s="4" t="s">
        <v>17</v>
      </c>
      <c r="F199" s="7" t="str">
        <f t="array" ref="F199">IFERROR(
  INDEX(lookup_table!B:B,
        MATCH(TRUE,
              ISNUMBER(SEARCH(lookup_table!A:A,C199)),
        0)
  ),
"Uncategorized")
</f>
        <v>Dining Out</v>
      </c>
      <c r="G199" s="1" t="s">
        <v>13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8">
        <v>45764.0</v>
      </c>
      <c r="B200" s="4" t="str">
        <f t="shared" si="1"/>
        <v>2025-04</v>
      </c>
      <c r="C200" s="2" t="s">
        <v>153</v>
      </c>
      <c r="D200" s="6">
        <v>7.26</v>
      </c>
      <c r="E200" s="4" t="s">
        <v>50</v>
      </c>
      <c r="F200" s="7" t="str">
        <f t="array" ref="F200">IFERROR(
  INDEX(lookup_table!B:B,
        MATCH(TRUE,
              ISNUMBER(SEARCH(lookup_table!A:A,C200)),
        0)
  ),
"Uncategorized")
</f>
        <v>Groceries</v>
      </c>
      <c r="G200" s="1" t="s">
        <v>13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8">
        <v>45764.0</v>
      </c>
      <c r="B201" s="4" t="str">
        <f t="shared" si="1"/>
        <v>2025-04</v>
      </c>
      <c r="C201" s="2" t="s">
        <v>154</v>
      </c>
      <c r="D201" s="6">
        <v>1.0</v>
      </c>
      <c r="E201" s="4" t="s">
        <v>45</v>
      </c>
      <c r="F201" s="7" t="str">
        <f t="array" ref="F201">IFERROR(
  INDEX(lookup_table!B:B,
        MATCH(TRUE,
              ISNUMBER(SEARCH(lookup_table!A:A,C201)),
        0)
  ),
"Uncategorized")
</f>
        <v>Travel</v>
      </c>
      <c r="G201" s="1" t="s">
        <v>13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8">
        <v>45764.0</v>
      </c>
      <c r="B202" s="4" t="str">
        <f t="shared" si="1"/>
        <v>2025-04</v>
      </c>
      <c r="C202" s="2" t="s">
        <v>154</v>
      </c>
      <c r="D202" s="6">
        <v>1.75</v>
      </c>
      <c r="E202" s="4" t="s">
        <v>45</v>
      </c>
      <c r="F202" s="7" t="str">
        <f t="array" ref="F202">IFERROR(
  INDEX(lookup_table!B:B,
        MATCH(TRUE,
              ISNUMBER(SEARCH(lookup_table!A:A,C202)),
        0)
  ),
"Uncategorized")
</f>
        <v>Travel</v>
      </c>
      <c r="G202" s="1" t="s">
        <v>13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9">
        <v>45766.0</v>
      </c>
      <c r="B203" s="4" t="str">
        <f t="shared" si="1"/>
        <v>2025-04</v>
      </c>
      <c r="C203" s="2" t="s">
        <v>11</v>
      </c>
      <c r="D203" s="6">
        <v>29.49</v>
      </c>
      <c r="E203" s="4" t="s">
        <v>26</v>
      </c>
      <c r="F203" s="7" t="str">
        <f t="array" ref="F203">IFERROR(
  INDEX(lookup_table!B:B,
        MATCH(TRUE,
              ISNUMBER(SEARCH(lookup_table!A:A,C203)),
        0)
  ),
"Uncategorized")
</f>
        <v>Transportation</v>
      </c>
      <c r="G203" s="1" t="s">
        <v>10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9">
        <v>45767.0</v>
      </c>
      <c r="B204" s="4" t="str">
        <f t="shared" si="1"/>
        <v>2025-04</v>
      </c>
      <c r="C204" s="2" t="s">
        <v>85</v>
      </c>
      <c r="D204" s="6">
        <v>63.68</v>
      </c>
      <c r="E204" s="4" t="s">
        <v>84</v>
      </c>
      <c r="F204" s="7" t="str">
        <f t="array" ref="F204">IFERROR(
  INDEX(lookup_table!B:B,
        MATCH(TRUE,
              ISNUMBER(SEARCH(lookup_table!A:A,C204)),
        0)
  ),
"Uncategorized")
</f>
        <v>Groceries</v>
      </c>
      <c r="G204" s="1" t="s">
        <v>21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9">
        <v>45769.0</v>
      </c>
      <c r="B205" s="4" t="str">
        <f t="shared" si="1"/>
        <v>2025-04</v>
      </c>
      <c r="C205" s="2" t="s">
        <v>155</v>
      </c>
      <c r="D205" s="6">
        <v>22.84</v>
      </c>
      <c r="E205" s="4" t="s">
        <v>9</v>
      </c>
      <c r="F205" s="7" t="str">
        <f t="array" ref="F205">IFERROR(
  INDEX(lookup_table!B:B,
        MATCH(TRUE,
              ISNUMBER(SEARCH(lookup_table!A:A,C205)),
        0)
  ),
"Uncategorized")
</f>
        <v>Dining Out</v>
      </c>
      <c r="G205" s="1" t="s">
        <v>10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9">
        <v>45771.0</v>
      </c>
      <c r="B206" s="4" t="str">
        <f t="shared" si="1"/>
        <v>2025-04</v>
      </c>
      <c r="C206" s="2" t="s">
        <v>156</v>
      </c>
      <c r="D206" s="6">
        <v>29.5</v>
      </c>
      <c r="E206" s="4" t="s">
        <v>28</v>
      </c>
      <c r="F206" s="7" t="str">
        <f t="array" ref="F206">IFERROR(
  INDEX(lookup_table!B:B,
        MATCH(TRUE,
              ISNUMBER(SEARCH(lookup_table!A:A,C206)),
        0)
  ),
"Uncategorized")
</f>
        <v>Groceries</v>
      </c>
      <c r="G206" s="1" t="s">
        <v>10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9">
        <v>45772.0</v>
      </c>
      <c r="B207" s="4" t="str">
        <f t="shared" si="1"/>
        <v>2025-04</v>
      </c>
      <c r="C207" s="2" t="s">
        <v>155</v>
      </c>
      <c r="D207" s="6">
        <v>20.73</v>
      </c>
      <c r="E207" s="4" t="s">
        <v>9</v>
      </c>
      <c r="F207" s="7" t="str">
        <f t="array" ref="F207">IFERROR(
  INDEX(lookup_table!B:B,
        MATCH(TRUE,
              ISNUMBER(SEARCH(lookup_table!A:A,C207)),
        0)
  ),
"Uncategorized")
</f>
        <v>Dining Out</v>
      </c>
      <c r="G207" s="1" t="s">
        <v>10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9">
        <v>45772.0</v>
      </c>
      <c r="B208" s="4" t="str">
        <f t="shared" si="1"/>
        <v>2025-04</v>
      </c>
      <c r="C208" s="2" t="s">
        <v>157</v>
      </c>
      <c r="D208" s="6">
        <v>4.74</v>
      </c>
      <c r="E208" s="4" t="s">
        <v>79</v>
      </c>
      <c r="F208" s="7" t="str">
        <f t="array" ref="F208">IFERROR(
  INDEX(lookup_table!B:B,
        MATCH(TRUE,
              ISNUMBER(SEARCH(lookup_table!A:A,C208)),
        0)
  ),
"Uncategorized")
</f>
        <v>Dining Out</v>
      </c>
      <c r="G208" s="1" t="s">
        <v>10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9">
        <v>45772.0</v>
      </c>
      <c r="B209" s="4" t="str">
        <f t="shared" si="1"/>
        <v>2025-04</v>
      </c>
      <c r="C209" s="2" t="s">
        <v>81</v>
      </c>
      <c r="D209" s="6">
        <v>26.38</v>
      </c>
      <c r="E209" s="4" t="s">
        <v>28</v>
      </c>
      <c r="F209" s="7" t="str">
        <f t="array" ref="F209">IFERROR(
  INDEX(lookup_table!B:B,
        MATCH(TRUE,
              ISNUMBER(SEARCH(lookup_table!A:A,C209)),
        0)
  ),
"Uncategorized")
</f>
        <v>Shopping</v>
      </c>
      <c r="G209" s="1" t="s">
        <v>10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8">
        <v>45774.0</v>
      </c>
      <c r="B210" s="4" t="str">
        <f t="shared" si="1"/>
        <v>2025-04</v>
      </c>
      <c r="C210" s="2" t="s">
        <v>158</v>
      </c>
      <c r="D210" s="6">
        <v>15.46</v>
      </c>
      <c r="E210" s="4" t="s">
        <v>17</v>
      </c>
      <c r="F210" s="7" t="str">
        <f t="array" ref="F210">IFERROR(
  INDEX(lookup_table!B:B,
        MATCH(TRUE,
              ISNUMBER(SEARCH(lookup_table!A:A,C210)),
        0)
  ),
"Uncategorized")
</f>
        <v>Dining Out</v>
      </c>
      <c r="G210" s="1" t="s">
        <v>13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8">
        <v>45775.0</v>
      </c>
      <c r="B211" s="4" t="str">
        <f t="shared" si="1"/>
        <v>2025-04</v>
      </c>
      <c r="C211" s="2" t="s">
        <v>141</v>
      </c>
      <c r="D211" s="6">
        <v>4.74</v>
      </c>
      <c r="E211" s="4" t="s">
        <v>17</v>
      </c>
      <c r="F211" s="7" t="str">
        <f t="array" ref="F211">IFERROR(
  INDEX(lookup_table!B:B,
        MATCH(TRUE,
              ISNUMBER(SEARCH(lookup_table!A:A,C211)),
        0)
  ),
"Uncategorized")
</f>
        <v>Dining Out</v>
      </c>
      <c r="G211" s="1" t="s">
        <v>13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9">
        <v>45775.0</v>
      </c>
      <c r="B212" s="4" t="str">
        <f t="shared" si="1"/>
        <v>2025-04</v>
      </c>
      <c r="C212" s="2" t="s">
        <v>159</v>
      </c>
      <c r="D212" s="6">
        <v>14.23</v>
      </c>
      <c r="E212" s="4" t="s">
        <v>9</v>
      </c>
      <c r="F212" s="7" t="str">
        <f t="array" ref="F212">IFERROR(
  INDEX(lookup_table!B:B,
        MATCH(TRUE,
              ISNUMBER(SEARCH(lookup_table!A:A,C212)),
        0)
  ),
"Uncategorized")
</f>
        <v>Dining Out</v>
      </c>
      <c r="G212" s="1" t="s">
        <v>21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9">
        <v>45776.0</v>
      </c>
      <c r="B213" s="4" t="str">
        <f t="shared" si="1"/>
        <v>2025-04</v>
      </c>
      <c r="C213" s="2" t="s">
        <v>36</v>
      </c>
      <c r="D213" s="6">
        <v>59.53</v>
      </c>
      <c r="E213" s="4" t="s">
        <v>35</v>
      </c>
      <c r="F213" s="7" t="str">
        <f t="array" ref="F213">IFERROR(
  INDEX(lookup_table!B:B,
        MATCH(TRUE,
              ISNUMBER(SEARCH(lookup_table!A:A,C213)),
        0)
  ),
"Uncategorized")
</f>
        <v>Bills</v>
      </c>
      <c r="G213" s="1" t="s">
        <v>21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9">
        <v>45776.0</v>
      </c>
      <c r="B214" s="4" t="str">
        <f t="shared" si="1"/>
        <v>2025-04</v>
      </c>
      <c r="C214" s="2" t="s">
        <v>160</v>
      </c>
      <c r="D214" s="6">
        <v>5.71</v>
      </c>
      <c r="E214" s="4" t="s">
        <v>9</v>
      </c>
      <c r="F214" s="7" t="str">
        <f t="array" ref="F214">IFERROR(
  INDEX(lookup_table!B:B,
        MATCH(TRUE,
              ISNUMBER(SEARCH(lookup_table!A:A,C214)),
        0)
  ),
"Uncategorized")
</f>
        <v>Dining Out</v>
      </c>
      <c r="G214" s="1" t="s">
        <v>10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9">
        <v>45776.0</v>
      </c>
      <c r="B215" s="4" t="str">
        <f t="shared" si="1"/>
        <v>2025-04</v>
      </c>
      <c r="C215" s="2" t="s">
        <v>161</v>
      </c>
      <c r="D215" s="6">
        <v>8.43</v>
      </c>
      <c r="E215" s="4" t="s">
        <v>28</v>
      </c>
      <c r="F215" s="7" t="str">
        <f t="array" ref="F215">IFERROR(
  INDEX(lookup_table!B:B,
        MATCH(TRUE,
              ISNUMBER(SEARCH(lookup_table!A:A,C215)),
        0)
  ),
"Uncategorized")
</f>
        <v>Shopping</v>
      </c>
      <c r="G215" s="1" t="s">
        <v>10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8">
        <v>45777.0</v>
      </c>
      <c r="B216" s="4" t="str">
        <f t="shared" si="1"/>
        <v>2025-04</v>
      </c>
      <c r="C216" s="2" t="s">
        <v>162</v>
      </c>
      <c r="D216" s="6">
        <v>6.53</v>
      </c>
      <c r="E216" s="4" t="s">
        <v>87</v>
      </c>
      <c r="F216" s="7" t="str">
        <f t="array" ref="F216">IFERROR(
  INDEX(lookup_table!B:B,
        MATCH(TRUE,
              ISNUMBER(SEARCH(lookup_table!A:A,C216)),
        0)
  ),
"Uncategorized")
</f>
        <v>Dining Out</v>
      </c>
      <c r="G216" s="1" t="s">
        <v>13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8">
        <v>45777.0</v>
      </c>
      <c r="B217" s="4" t="str">
        <f t="shared" si="1"/>
        <v>2025-04</v>
      </c>
      <c r="C217" s="2" t="s">
        <v>162</v>
      </c>
      <c r="D217" s="6">
        <v>6.53</v>
      </c>
      <c r="E217" s="4" t="s">
        <v>87</v>
      </c>
      <c r="F217" s="7" t="str">
        <f t="array" ref="F217">IFERROR(
  INDEX(lookup_table!B:B,
        MATCH(TRUE,
              ISNUMBER(SEARCH(lookup_table!A:A,C217)),
        0)
  ),
"Uncategorized")
</f>
        <v>Dining Out</v>
      </c>
      <c r="G217" s="1" t="s">
        <v>13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8">
        <v>45777.0</v>
      </c>
      <c r="B218" s="4" t="str">
        <f t="shared" si="1"/>
        <v>2025-04</v>
      </c>
      <c r="C218" s="2" t="s">
        <v>70</v>
      </c>
      <c r="D218" s="6">
        <v>21.72</v>
      </c>
      <c r="E218" s="4" t="s">
        <v>17</v>
      </c>
      <c r="F218" s="7" t="str">
        <f t="array" ref="F218">IFERROR(
  INDEX(lookup_table!B:B,
        MATCH(TRUE,
              ISNUMBER(SEARCH(lookup_table!A:A,C218)),
        0)
  ),
"Uncategorized")
</f>
        <v>Dining Out</v>
      </c>
      <c r="G218" s="1" t="s">
        <v>13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9">
        <v>45777.0</v>
      </c>
      <c r="B219" s="4" t="str">
        <f t="shared" si="1"/>
        <v>2025-04</v>
      </c>
      <c r="C219" s="2" t="s">
        <v>81</v>
      </c>
      <c r="D219" s="6">
        <v>32.71</v>
      </c>
      <c r="E219" s="4" t="s">
        <v>28</v>
      </c>
      <c r="F219" s="7" t="str">
        <f t="array" ref="F219">IFERROR(
  INDEX(lookup_table!B:B,
        MATCH(TRUE,
              ISNUMBER(SEARCH(lookup_table!A:A,C219)),
        0)
  ),
"Uncategorized")
</f>
        <v>Shopping</v>
      </c>
      <c r="G219" s="1" t="s">
        <v>10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9">
        <v>45782.0</v>
      </c>
      <c r="B220" s="4" t="str">
        <f t="shared" si="1"/>
        <v>2025-05</v>
      </c>
      <c r="C220" s="2" t="s">
        <v>163</v>
      </c>
      <c r="D220" s="6">
        <v>13.34</v>
      </c>
      <c r="E220" s="4" t="s">
        <v>28</v>
      </c>
      <c r="F220" s="7" t="str">
        <f t="array" ref="F220">IFERROR(
  INDEX(lookup_table!B:B,
        MATCH(TRUE,
              ISNUMBER(SEARCH(lookup_table!A:A,C220)),
        0)
  ),
"Uncategorized")
</f>
        <v>Dining Out</v>
      </c>
      <c r="G220" s="1" t="s">
        <v>10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9">
        <v>45782.0</v>
      </c>
      <c r="B221" s="4" t="str">
        <f t="shared" si="1"/>
        <v>2025-05</v>
      </c>
      <c r="C221" s="2" t="s">
        <v>24</v>
      </c>
      <c r="D221" s="6">
        <v>10.54</v>
      </c>
      <c r="E221" s="4" t="s">
        <v>25</v>
      </c>
      <c r="F221" s="7" t="str">
        <f t="array" ref="F221">IFERROR(
  INDEX(lookup_table!B:B,
        MATCH(TRUE,
              ISNUMBER(SEARCH(lookup_table!A:A,C221)),
        0)
  ),
"Uncategorized")
</f>
        <v>Shopping</v>
      </c>
      <c r="G221" s="1" t="s">
        <v>21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8">
        <v>45782.0</v>
      </c>
      <c r="B222" s="4" t="str">
        <f t="shared" si="1"/>
        <v>2025-05</v>
      </c>
      <c r="C222" s="2" t="s">
        <v>164</v>
      </c>
      <c r="D222" s="6">
        <v>8.32</v>
      </c>
      <c r="E222" s="4" t="s">
        <v>87</v>
      </c>
      <c r="F222" s="7" t="str">
        <f t="array" ref="F222">IFERROR(
  INDEX(lookup_table!B:B,
        MATCH(TRUE,
              ISNUMBER(SEARCH(lookup_table!A:A,C222)),
        0)
  ),
"Uncategorized")
</f>
        <v>Shopping</v>
      </c>
      <c r="G222" s="1" t="s">
        <v>13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8">
        <v>45782.0</v>
      </c>
      <c r="B223" s="4" t="str">
        <f t="shared" si="1"/>
        <v>2025-05</v>
      </c>
      <c r="C223" s="2" t="s">
        <v>132</v>
      </c>
      <c r="D223" s="6">
        <v>3.37</v>
      </c>
      <c r="E223" s="4" t="s">
        <v>12</v>
      </c>
      <c r="F223" s="7" t="str">
        <f t="array" ref="F223">IFERROR(
  INDEX(lookup_table!B:B,
        MATCH(TRUE,
              ISNUMBER(SEARCH(lookup_table!A:A,C223)),
        0)
  ),
"Uncategorized")
</f>
        <v>Transportation</v>
      </c>
      <c r="G223" s="1" t="s">
        <v>13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8">
        <v>45783.0</v>
      </c>
      <c r="B224" s="4" t="str">
        <f t="shared" si="1"/>
        <v>2025-05</v>
      </c>
      <c r="C224" s="2" t="s">
        <v>29</v>
      </c>
      <c r="D224" s="6">
        <v>50.0</v>
      </c>
      <c r="E224" s="4" t="s">
        <v>30</v>
      </c>
      <c r="F224" s="7" t="str">
        <f t="array" ref="F224">IFERROR(
  INDEX(lookup_table!B:B,
        MATCH(TRUE,
              ISNUMBER(SEARCH(lookup_table!A:A,C224)),
        0)
  ),
"Uncategorized")
</f>
        <v>Bills</v>
      </c>
      <c r="G224" s="1" t="s">
        <v>13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8">
        <v>45783.0</v>
      </c>
      <c r="B225" s="4" t="str">
        <f t="shared" si="1"/>
        <v>2025-05</v>
      </c>
      <c r="C225" s="2" t="s">
        <v>31</v>
      </c>
      <c r="D225" s="6">
        <v>346.3</v>
      </c>
      <c r="E225" s="4" t="s">
        <v>32</v>
      </c>
      <c r="F225" s="7" t="str">
        <f t="array" ref="F225">IFERROR(
  INDEX(lookup_table!B:B,
        MATCH(TRUE,
              ISNUMBER(SEARCH(lookup_table!A:A,C225)),
        0)
  ),
"Uncategorized")
</f>
        <v>Bills</v>
      </c>
      <c r="G225" s="1" t="s">
        <v>13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8">
        <v>45783.0</v>
      </c>
      <c r="B226" s="4" t="str">
        <f t="shared" si="1"/>
        <v>2025-05</v>
      </c>
      <c r="C226" s="2" t="s">
        <v>165</v>
      </c>
      <c r="D226" s="6">
        <v>3.09</v>
      </c>
      <c r="E226" s="4" t="s">
        <v>17</v>
      </c>
      <c r="F226" s="7" t="str">
        <f t="array" ref="F226">IFERROR(
  INDEX(lookup_table!B:B,
        MATCH(TRUE,
              ISNUMBER(SEARCH(lookup_table!A:A,C226)),
        0)
  ),
"Uncategorized")
</f>
        <v>Dining Out</v>
      </c>
      <c r="G226" s="1" t="s">
        <v>13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9">
        <v>45784.0</v>
      </c>
      <c r="B227" s="4" t="str">
        <f t="shared" si="1"/>
        <v>2025-05</v>
      </c>
      <c r="C227" s="2" t="s">
        <v>34</v>
      </c>
      <c r="D227" s="6">
        <v>151.62</v>
      </c>
      <c r="E227" s="4" t="s">
        <v>35</v>
      </c>
      <c r="F227" s="7" t="str">
        <f t="array" ref="F227">IFERROR(
  INDEX(lookup_table!B:B,
        MATCH(TRUE,
              ISNUMBER(SEARCH(lookup_table!A:A,C227)),
        0)
  ),
"Uncategorized")
</f>
        <v>Bills</v>
      </c>
      <c r="G227" s="1" t="s">
        <v>21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9">
        <v>45784.0</v>
      </c>
      <c r="B228" s="4" t="str">
        <f t="shared" si="1"/>
        <v>2025-05</v>
      </c>
      <c r="C228" s="2" t="s">
        <v>166</v>
      </c>
      <c r="D228" s="6">
        <v>6.01</v>
      </c>
      <c r="E228" s="4" t="s">
        <v>9</v>
      </c>
      <c r="F228" s="7" t="str">
        <f t="array" ref="F228">IFERROR(
  INDEX(lookup_table!B:B,
        MATCH(TRUE,
              ISNUMBER(SEARCH(lookup_table!A:A,C228)),
        0)
  ),
"Uncategorized")
</f>
        <v>Entertainment</v>
      </c>
      <c r="G228" s="1" t="s">
        <v>10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9">
        <v>45784.0</v>
      </c>
      <c r="B229" s="4" t="str">
        <f t="shared" si="1"/>
        <v>2025-05</v>
      </c>
      <c r="C229" s="2" t="s">
        <v>71</v>
      </c>
      <c r="D229" s="6">
        <v>21.68</v>
      </c>
      <c r="E229" s="4" t="s">
        <v>167</v>
      </c>
      <c r="F229" s="7" t="str">
        <f t="array" ref="F229">IFERROR(
  INDEX(lookup_table!B:B,
        MATCH(TRUE,
              ISNUMBER(SEARCH(lookup_table!A:A,C229)),
        0)
  ),
"Uncategorized")
</f>
        <v>Entertainment</v>
      </c>
      <c r="G229" s="1" t="s">
        <v>21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9">
        <v>45784.0</v>
      </c>
      <c r="B230" s="4" t="str">
        <f t="shared" si="1"/>
        <v>2025-05</v>
      </c>
      <c r="C230" s="2" t="s">
        <v>85</v>
      </c>
      <c r="D230" s="6">
        <v>81.44</v>
      </c>
      <c r="E230" s="4" t="s">
        <v>84</v>
      </c>
      <c r="F230" s="7" t="str">
        <f t="array" ref="F230">IFERROR(
  INDEX(lookup_table!B:B,
        MATCH(TRUE,
              ISNUMBER(SEARCH(lookup_table!A:A,C230)),
        0)
  ),
"Uncategorized")
</f>
        <v>Groceries</v>
      </c>
      <c r="G230" s="1" t="s">
        <v>21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8">
        <v>45785.0</v>
      </c>
      <c r="B231" s="4" t="str">
        <f t="shared" si="1"/>
        <v>2025-05</v>
      </c>
      <c r="C231" s="2" t="s">
        <v>16</v>
      </c>
      <c r="D231" s="6">
        <v>2.5</v>
      </c>
      <c r="E231" s="4" t="s">
        <v>17</v>
      </c>
      <c r="F231" s="7" t="str">
        <f t="array" ref="F231">IFERROR(
  INDEX(lookup_table!B:B,
        MATCH(TRUE,
              ISNUMBER(SEARCH(lookup_table!A:A,C231)),
        0)
  ),
"Uncategorized")
</f>
        <v>Dining Out</v>
      </c>
      <c r="G231" s="1" t="s">
        <v>13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9">
        <v>45786.0</v>
      </c>
      <c r="B232" s="4" t="str">
        <f t="shared" si="1"/>
        <v>2025-05</v>
      </c>
      <c r="C232" s="2" t="s">
        <v>168</v>
      </c>
      <c r="D232" s="6">
        <v>89.68</v>
      </c>
      <c r="E232" s="4" t="s">
        <v>28</v>
      </c>
      <c r="F232" s="7" t="str">
        <f t="array" ref="F232">IFERROR(
  INDEX(lookup_table!B:B,
        MATCH(TRUE,
              ISNUMBER(SEARCH(lookup_table!A:A,C232)),
        0)
  ),
"Uncategorized")
</f>
        <v>Dining Out</v>
      </c>
      <c r="G232" s="1" t="s">
        <v>10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8">
        <v>45786.0</v>
      </c>
      <c r="B233" s="4" t="str">
        <f t="shared" si="1"/>
        <v>2025-05</v>
      </c>
      <c r="C233" s="2" t="s">
        <v>169</v>
      </c>
      <c r="D233" s="6">
        <v>14.0</v>
      </c>
      <c r="E233" s="4" t="s">
        <v>17</v>
      </c>
      <c r="F233" s="7" t="str">
        <f t="array" ref="F233">IFERROR(
  INDEX(lookup_table!B:B,
        MATCH(TRUE,
              ISNUMBER(SEARCH(lookup_table!A:A,C233)),
        0)
  ),
"Uncategorized")
</f>
        <v>Dining Out</v>
      </c>
      <c r="G233" s="1" t="s">
        <v>13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9">
        <v>45786.0</v>
      </c>
      <c r="B234" s="4" t="str">
        <f t="shared" si="1"/>
        <v>2025-05</v>
      </c>
      <c r="C234" s="2" t="s">
        <v>14</v>
      </c>
      <c r="D234" s="6">
        <v>25.3</v>
      </c>
      <c r="E234" s="4" t="s">
        <v>84</v>
      </c>
      <c r="F234" s="7" t="str">
        <f t="array" ref="F234">IFERROR(
  INDEX(lookup_table!B:B,
        MATCH(TRUE,
              ISNUMBER(SEARCH(lookup_table!A:A,C234)),
        0)
  ),
"Uncategorized")
</f>
        <v>Groceries</v>
      </c>
      <c r="G234" s="1" t="s">
        <v>21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9">
        <v>45786.0</v>
      </c>
      <c r="B235" s="4" t="str">
        <f t="shared" si="1"/>
        <v>2025-05</v>
      </c>
      <c r="C235" s="2" t="s">
        <v>140</v>
      </c>
      <c r="D235" s="6">
        <v>29.37</v>
      </c>
      <c r="E235" s="4" t="s">
        <v>63</v>
      </c>
      <c r="F235" s="7" t="str">
        <f t="array" ref="F235">IFERROR(
  INDEX(lookup_table!B:B,
        MATCH(TRUE,
              ISNUMBER(SEARCH(lookup_table!A:A,C235)),
        0)
  ),
"Uncategorized")
</f>
        <v>Transportation</v>
      </c>
      <c r="G235" s="1" t="s">
        <v>10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9">
        <v>45790.0</v>
      </c>
      <c r="B236" s="4" t="str">
        <f t="shared" si="1"/>
        <v>2025-05</v>
      </c>
      <c r="C236" s="2" t="s">
        <v>170</v>
      </c>
      <c r="D236" s="6">
        <v>15.77</v>
      </c>
      <c r="E236" s="4" t="s">
        <v>28</v>
      </c>
      <c r="F236" s="7" t="str">
        <f t="array" ref="F236">IFERROR(
  INDEX(lookup_table!B:B,
        MATCH(TRUE,
              ISNUMBER(SEARCH(lookup_table!A:A,C236)),
        0)
  ),
"Uncategorized")
</f>
        <v>Subscriptions</v>
      </c>
      <c r="G236" s="1" t="s">
        <v>10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8">
        <v>45791.0</v>
      </c>
      <c r="B237" s="4" t="str">
        <f t="shared" si="1"/>
        <v>2025-05</v>
      </c>
      <c r="C237" s="2" t="s">
        <v>58</v>
      </c>
      <c r="D237" s="6">
        <v>872.5</v>
      </c>
      <c r="E237" s="4" t="s">
        <v>59</v>
      </c>
      <c r="F237" s="7" t="str">
        <f t="array" ref="F237">IFERROR(
  INDEX(lookup_table!B:B,
        MATCH(TRUE,
              ISNUMBER(SEARCH(lookup_table!A:A,C237)),
        0)
  ),
"Uncategorized")
</f>
        <v>Bills</v>
      </c>
      <c r="G237" s="1" t="s">
        <v>13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9">
        <v>45791.0</v>
      </c>
      <c r="B238" s="4" t="str">
        <f t="shared" si="1"/>
        <v>2025-05</v>
      </c>
      <c r="C238" s="2" t="s">
        <v>81</v>
      </c>
      <c r="D238" s="6">
        <v>38.72</v>
      </c>
      <c r="E238" s="4" t="s">
        <v>28</v>
      </c>
      <c r="F238" s="7" t="str">
        <f t="array" ref="F238">IFERROR(
  INDEX(lookup_table!B:B,
        MATCH(TRUE,
              ISNUMBER(SEARCH(lookup_table!A:A,C238)),
        0)
  ),
"Uncategorized")
</f>
        <v>Shopping</v>
      </c>
      <c r="G238" s="1" t="s">
        <v>10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9">
        <v>45792.0</v>
      </c>
      <c r="B239" s="4" t="str">
        <f t="shared" si="1"/>
        <v>2025-05</v>
      </c>
      <c r="C239" s="2" t="s">
        <v>171</v>
      </c>
      <c r="D239" s="6">
        <v>13.01</v>
      </c>
      <c r="E239" s="4" t="s">
        <v>28</v>
      </c>
      <c r="F239" s="7" t="str">
        <f t="array" ref="F239">IFERROR(
  INDEX(lookup_table!B:B,
        MATCH(TRUE,
              ISNUMBER(SEARCH(lookup_table!A:A,C239)),
        0)
  ),
"Uncategorized")
</f>
        <v>Dining Out</v>
      </c>
      <c r="G239" s="1" t="s">
        <v>10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9">
        <v>45792.0</v>
      </c>
      <c r="B240" s="4" t="str">
        <f t="shared" si="1"/>
        <v>2025-05</v>
      </c>
      <c r="C240" s="2" t="s">
        <v>48</v>
      </c>
      <c r="D240" s="6">
        <v>77.1</v>
      </c>
      <c r="E240" s="4" t="s">
        <v>84</v>
      </c>
      <c r="F240" s="7" t="str">
        <f t="array" ref="F240">IFERROR(
  INDEX(lookup_table!B:B,
        MATCH(TRUE,
              ISNUMBER(SEARCH(lookup_table!A:A,C240)),
        0)
  ),
"Uncategorized")
</f>
        <v>Groceries</v>
      </c>
      <c r="G240" s="1" t="s">
        <v>21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9">
        <v>45792.0</v>
      </c>
      <c r="B241" s="4" t="str">
        <f t="shared" si="1"/>
        <v>2025-05</v>
      </c>
      <c r="C241" s="2" t="s">
        <v>122</v>
      </c>
      <c r="D241" s="6">
        <v>31.16</v>
      </c>
      <c r="E241" s="4" t="s">
        <v>23</v>
      </c>
      <c r="F241" s="7" t="str">
        <f t="array" ref="F241">IFERROR(
  INDEX(lookup_table!B:B,
        MATCH(TRUE,
              ISNUMBER(SEARCH(lookup_table!A:A,C241)),
        0)
  ),
"Uncategorized")
</f>
        <v>Groceries</v>
      </c>
      <c r="G241" s="1" t="s">
        <v>10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9">
        <v>45792.0</v>
      </c>
      <c r="B242" s="4" t="str">
        <f t="shared" si="1"/>
        <v>2025-05</v>
      </c>
      <c r="C242" s="2" t="s">
        <v>161</v>
      </c>
      <c r="D242" s="6">
        <v>16.34</v>
      </c>
      <c r="E242" s="4" t="s">
        <v>28</v>
      </c>
      <c r="F242" s="7" t="str">
        <f t="array" ref="F242">IFERROR(
  INDEX(lookup_table!B:B,
        MATCH(TRUE,
              ISNUMBER(SEARCH(lookup_table!A:A,C242)),
        0)
  ),
"Uncategorized")
</f>
        <v>Shopping</v>
      </c>
      <c r="G242" s="1" t="s">
        <v>10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9">
        <v>45793.0</v>
      </c>
      <c r="B243" s="4" t="str">
        <f t="shared" si="1"/>
        <v>2025-05</v>
      </c>
      <c r="C243" s="2" t="s">
        <v>172</v>
      </c>
      <c r="D243" s="6">
        <v>5.15</v>
      </c>
      <c r="E243" s="4" t="s">
        <v>9</v>
      </c>
      <c r="F243" s="7" t="str">
        <f t="array" ref="F243">IFERROR(
  INDEX(lookup_table!B:B,
        MATCH(TRUE,
              ISNUMBER(SEARCH(lookup_table!A:A,C243)),
        0)
  ),
"Uncategorized")
</f>
        <v>Shopping</v>
      </c>
      <c r="G243" s="1" t="s">
        <v>10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8">
        <v>45793.0</v>
      </c>
      <c r="B244" s="4" t="str">
        <f t="shared" si="1"/>
        <v>2025-05</v>
      </c>
      <c r="C244" s="2" t="s">
        <v>11</v>
      </c>
      <c r="D244" s="6">
        <v>12.0</v>
      </c>
      <c r="E244" s="4" t="s">
        <v>12</v>
      </c>
      <c r="F244" s="7" t="str">
        <f t="array" ref="F244">IFERROR(
  INDEX(lookup_table!B:B,
        MATCH(TRUE,
              ISNUMBER(SEARCH(lookup_table!A:A,C244)),
        0)
  ),
"Uncategorized")
</f>
        <v>Transportation</v>
      </c>
      <c r="G244" s="1" t="s">
        <v>13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9">
        <v>45795.0</v>
      </c>
      <c r="B245" s="4" t="str">
        <f t="shared" si="1"/>
        <v>2025-05</v>
      </c>
      <c r="C245" s="2" t="s">
        <v>173</v>
      </c>
      <c r="D245" s="6">
        <v>11.36</v>
      </c>
      <c r="E245" s="4" t="s">
        <v>23</v>
      </c>
      <c r="F245" s="7" t="str">
        <f t="array" ref="F245">IFERROR(
  INDEX(lookup_table!B:B,
        MATCH(TRUE,
              ISNUMBER(SEARCH(lookup_table!A:A,C245)),
        0)
  ),
"Uncategorized")
</f>
        <v>Dining Out</v>
      </c>
      <c r="G245" s="1" t="s">
        <v>10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8">
        <v>45796.0</v>
      </c>
      <c r="B246" s="4" t="str">
        <f t="shared" si="1"/>
        <v>2025-05</v>
      </c>
      <c r="C246" s="2" t="s">
        <v>11</v>
      </c>
      <c r="D246" s="6">
        <v>3.67</v>
      </c>
      <c r="E246" s="4" t="s">
        <v>17</v>
      </c>
      <c r="F246" s="7" t="str">
        <f t="array" ref="F246">IFERROR(
  INDEX(lookup_table!B:B,
        MATCH(TRUE,
              ISNUMBER(SEARCH(lookup_table!A:A,C246)),
        0)
  ),
"Uncategorized")
</f>
        <v>Transportation</v>
      </c>
      <c r="G246" s="1" t="s">
        <v>13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9">
        <v>45796.0</v>
      </c>
      <c r="B247" s="4" t="str">
        <f t="shared" si="1"/>
        <v>2025-05</v>
      </c>
      <c r="C247" s="2" t="s">
        <v>174</v>
      </c>
      <c r="D247" s="6">
        <v>8.93</v>
      </c>
      <c r="E247" s="4" t="s">
        <v>28</v>
      </c>
      <c r="F247" s="7" t="str">
        <f t="array" ref="F247">IFERROR(
  INDEX(lookup_table!B:B,
        MATCH(TRUE,
              ISNUMBER(SEARCH(lookup_table!A:A,C247)),
        0)
  ),
"Uncategorized")
</f>
        <v>Travel</v>
      </c>
      <c r="G247" s="1" t="s">
        <v>10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9">
        <v>45797.0</v>
      </c>
      <c r="B248" s="4" t="str">
        <f t="shared" si="1"/>
        <v>2025-05</v>
      </c>
      <c r="C248" s="2" t="s">
        <v>175</v>
      </c>
      <c r="D248" s="6">
        <v>625.15</v>
      </c>
      <c r="E248" s="4" t="s">
        <v>28</v>
      </c>
      <c r="F248" s="7" t="str">
        <f t="array" ref="F248">IFERROR(
  INDEX(lookup_table!B:B,
        MATCH(TRUE,
              ISNUMBER(SEARCH(lookup_table!A:A,C248)),
        0)
  ),
"Uncategorized")
</f>
        <v>Transportation</v>
      </c>
      <c r="G248" s="1" t="s">
        <v>10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8">
        <v>45798.0</v>
      </c>
      <c r="B249" s="4" t="str">
        <f t="shared" si="1"/>
        <v>2025-05</v>
      </c>
      <c r="C249" s="2" t="s">
        <v>169</v>
      </c>
      <c r="D249" s="6">
        <v>6.0</v>
      </c>
      <c r="E249" s="4" t="s">
        <v>17</v>
      </c>
      <c r="F249" s="7" t="str">
        <f t="array" ref="F249">IFERROR(
  INDEX(lookup_table!B:B,
        MATCH(TRUE,
              ISNUMBER(SEARCH(lookup_table!A:A,C249)),
        0)
  ),
"Uncategorized")
</f>
        <v>Dining Out</v>
      </c>
      <c r="G249" s="1" t="s">
        <v>13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9">
        <v>45798.0</v>
      </c>
      <c r="B250" s="4" t="str">
        <f t="shared" si="1"/>
        <v>2025-05</v>
      </c>
      <c r="C250" s="2" t="s">
        <v>81</v>
      </c>
      <c r="D250" s="6">
        <v>26.38</v>
      </c>
      <c r="E250" s="4" t="s">
        <v>28</v>
      </c>
      <c r="F250" s="7" t="str">
        <f t="array" ref="F250">IFERROR(
  INDEX(lookup_table!B:B,
        MATCH(TRUE,
              ISNUMBER(SEARCH(lookup_table!A:A,C250)),
        0)
  ),
"Uncategorized")
</f>
        <v>Shopping</v>
      </c>
      <c r="G250" s="1" t="s">
        <v>10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9">
        <v>45798.0</v>
      </c>
      <c r="B251" s="4" t="str">
        <f t="shared" si="1"/>
        <v>2025-05</v>
      </c>
      <c r="C251" s="2" t="s">
        <v>175</v>
      </c>
      <c r="D251" s="6">
        <v>200.0</v>
      </c>
      <c r="E251" s="4" t="s">
        <v>28</v>
      </c>
      <c r="F251" s="7" t="str">
        <f t="array" ref="F251">IFERROR(
  INDEX(lookup_table!B:B,
        MATCH(TRUE,
              ISNUMBER(SEARCH(lookup_table!A:A,C251)),
        0)
  ),
"Uncategorized")
</f>
        <v>Transportation</v>
      </c>
      <c r="G251" s="1" t="s">
        <v>10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9">
        <v>45799.0</v>
      </c>
      <c r="B252" s="4" t="str">
        <f t="shared" si="1"/>
        <v>2025-05</v>
      </c>
      <c r="C252" s="2" t="s">
        <v>48</v>
      </c>
      <c r="D252" s="6">
        <v>70.6</v>
      </c>
      <c r="E252" s="4" t="s">
        <v>84</v>
      </c>
      <c r="F252" s="7" t="str">
        <f t="array" ref="F252">IFERROR(
  INDEX(lookup_table!B:B,
        MATCH(TRUE,
              ISNUMBER(SEARCH(lookup_table!A:A,C252)),
        0)
  ),
"Uncategorized")
</f>
        <v>Groceries</v>
      </c>
      <c r="G252" s="1" t="s">
        <v>21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9">
        <v>45799.0</v>
      </c>
      <c r="B253" s="4" t="str">
        <f t="shared" si="1"/>
        <v>2025-05</v>
      </c>
      <c r="C253" s="10" t="s">
        <v>120</v>
      </c>
      <c r="D253" s="6">
        <v>19.75</v>
      </c>
      <c r="E253" s="4" t="s">
        <v>28</v>
      </c>
      <c r="F253" s="7" t="str">
        <f t="array" ref="F253">IFERROR(
  INDEX(lookup_table!B:B,
        MATCH(TRUE,
              ISNUMBER(SEARCH(lookup_table!A:A,C253)),
        0)
  ),
"Uncategorized")
</f>
        <v>Shopping</v>
      </c>
      <c r="G253" s="1" t="s">
        <v>10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9">
        <v>45800.0</v>
      </c>
      <c r="B254" s="4" t="str">
        <f t="shared" si="1"/>
        <v>2025-05</v>
      </c>
      <c r="C254" s="2" t="s">
        <v>11</v>
      </c>
      <c r="D254" s="6">
        <v>47.76</v>
      </c>
      <c r="E254" s="4" t="s">
        <v>26</v>
      </c>
      <c r="F254" s="7" t="str">
        <f t="array" ref="F254">IFERROR(
  INDEX(lookup_table!B:B,
        MATCH(TRUE,
              ISNUMBER(SEARCH(lookup_table!A:A,C254)),
        0)
  ),
"Uncategorized")
</f>
        <v>Transportation</v>
      </c>
      <c r="G254" s="1" t="s">
        <v>10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8">
        <v>45801.0</v>
      </c>
      <c r="B255" s="4" t="str">
        <f t="shared" si="1"/>
        <v>2025-05</v>
      </c>
      <c r="C255" s="2" t="s">
        <v>176</v>
      </c>
      <c r="D255" s="6">
        <v>28.0</v>
      </c>
      <c r="E255" s="4" t="s">
        <v>61</v>
      </c>
      <c r="F255" s="7" t="str">
        <f t="array" ref="F255">IFERROR(
  INDEX(lookup_table!B:B,
        MATCH(TRUE,
              ISNUMBER(SEARCH(lookup_table!A:A,C255)),
        0)
  ),
"Uncategorized")
</f>
        <v>Travel</v>
      </c>
      <c r="G255" s="1" t="s">
        <v>13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9">
        <v>45802.0</v>
      </c>
      <c r="B256" s="4" t="str">
        <f t="shared" si="1"/>
        <v>2025-05</v>
      </c>
      <c r="C256" s="2" t="s">
        <v>136</v>
      </c>
      <c r="D256" s="6">
        <v>19.34</v>
      </c>
      <c r="E256" s="4" t="s">
        <v>28</v>
      </c>
      <c r="F256" s="7" t="str">
        <f t="array" ref="F256">IFERROR(
  INDEX(lookup_table!B:B,
        MATCH(TRUE,
              ISNUMBER(SEARCH(lookup_table!A:A,C256)),
        0)
  ),
"Uncategorized")
</f>
        <v>Dining Out</v>
      </c>
      <c r="G256" s="1" t="s">
        <v>10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9">
        <v>45802.0</v>
      </c>
      <c r="B257" s="4" t="str">
        <f t="shared" si="1"/>
        <v>2025-05</v>
      </c>
      <c r="C257" s="2" t="s">
        <v>157</v>
      </c>
      <c r="D257" s="6">
        <v>4.74</v>
      </c>
      <c r="E257" s="4" t="s">
        <v>79</v>
      </c>
      <c r="F257" s="7" t="str">
        <f t="array" ref="F257">IFERROR(
  INDEX(lookup_table!B:B,
        MATCH(TRUE,
              ISNUMBER(SEARCH(lookup_table!A:A,C257)),
        0)
  ),
"Uncategorized")
</f>
        <v>Dining Out</v>
      </c>
      <c r="G257" s="1" t="s">
        <v>10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9">
        <v>45802.0</v>
      </c>
      <c r="B258" s="4" t="str">
        <f t="shared" si="1"/>
        <v>2025-05</v>
      </c>
      <c r="C258" s="2" t="s">
        <v>85</v>
      </c>
      <c r="D258" s="6">
        <v>17.58</v>
      </c>
      <c r="E258" s="4" t="s">
        <v>84</v>
      </c>
      <c r="F258" s="7" t="str">
        <f t="array" ref="F258">IFERROR(
  INDEX(lookup_table!B:B,
        MATCH(TRUE,
              ISNUMBER(SEARCH(lookup_table!A:A,C258)),
        0)
  ),
"Uncategorized")
</f>
        <v>Groceries</v>
      </c>
      <c r="G258" s="1" t="s">
        <v>21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9">
        <v>45803.0</v>
      </c>
      <c r="B259" s="4" t="str">
        <f t="shared" si="1"/>
        <v>2025-05</v>
      </c>
      <c r="C259" s="2" t="s">
        <v>81</v>
      </c>
      <c r="D259" s="6">
        <v>6.33</v>
      </c>
      <c r="E259" s="4" t="s">
        <v>28</v>
      </c>
      <c r="F259" s="7" t="str">
        <f t="array" ref="F259">IFERROR(
  INDEX(lookup_table!B:B,
        MATCH(TRUE,
              ISNUMBER(SEARCH(lookup_table!A:A,C259)),
        0)
  ),
"Uncategorized")
</f>
        <v>Shopping</v>
      </c>
      <c r="G259" s="1" t="s">
        <v>10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9">
        <v>45805.0</v>
      </c>
      <c r="B260" s="4" t="str">
        <f t="shared" si="1"/>
        <v>2025-05</v>
      </c>
      <c r="C260" s="2" t="s">
        <v>36</v>
      </c>
      <c r="D260" s="6">
        <v>59.53</v>
      </c>
      <c r="E260" s="4" t="s">
        <v>35</v>
      </c>
      <c r="F260" s="7" t="str">
        <f t="array" ref="F260">IFERROR(
  INDEX(lookup_table!B:B,
        MATCH(TRUE,
              ISNUMBER(SEARCH(lookup_table!A:A,C260)),
        0)
  ),
"Uncategorized")
</f>
        <v>Bills</v>
      </c>
      <c r="G260" s="1" t="s">
        <v>21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9">
        <v>45806.0</v>
      </c>
      <c r="B261" s="4" t="str">
        <f t="shared" si="1"/>
        <v>2025-05</v>
      </c>
      <c r="C261" s="2" t="s">
        <v>177</v>
      </c>
      <c r="D261" s="6">
        <v>63.28</v>
      </c>
      <c r="E261" s="4" t="s">
        <v>28</v>
      </c>
      <c r="F261" s="7" t="str">
        <f t="array" ref="F261">IFERROR(
  INDEX(lookup_table!B:B,
        MATCH(TRUE,
              ISNUMBER(SEARCH(lookup_table!A:A,C261)),
        0)
  ),
"Uncategorized")
</f>
        <v>Dining Out</v>
      </c>
      <c r="G261" s="1" t="s">
        <v>10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9">
        <v>45810.0</v>
      </c>
      <c r="B262" s="4" t="str">
        <f t="shared" si="1"/>
        <v>2025-06</v>
      </c>
      <c r="C262" s="2" t="s">
        <v>85</v>
      </c>
      <c r="D262" s="6">
        <v>13.39</v>
      </c>
      <c r="E262" s="4" t="s">
        <v>84</v>
      </c>
      <c r="F262" s="7" t="str">
        <f t="array" ref="F262">IFERROR(
  INDEX(lookup_table!B:B,
        MATCH(TRUE,
              ISNUMBER(SEARCH(lookup_table!A:A,C262)),
        0)
  ),
"Uncategorized")
</f>
        <v>Groceries</v>
      </c>
      <c r="G262" s="1" t="s">
        <v>21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9">
        <v>45810.0</v>
      </c>
      <c r="B263" s="4" t="str">
        <f t="shared" si="1"/>
        <v>2025-06</v>
      </c>
      <c r="C263" s="2" t="s">
        <v>172</v>
      </c>
      <c r="D263" s="6">
        <v>56.11</v>
      </c>
      <c r="E263" s="4" t="s">
        <v>9</v>
      </c>
      <c r="F263" s="7" t="str">
        <f t="array" ref="F263">IFERROR(
  INDEX(lookup_table!B:B,
        MATCH(TRUE,
              ISNUMBER(SEARCH(lookup_table!A:A,C263)),
        0)
  ),
"Uncategorized")
</f>
        <v>Shopping</v>
      </c>
      <c r="G263" s="1" t="s">
        <v>10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9">
        <v>45810.0</v>
      </c>
      <c r="B264" s="4" t="str">
        <f t="shared" si="1"/>
        <v>2025-06</v>
      </c>
      <c r="C264" s="2" t="s">
        <v>178</v>
      </c>
      <c r="D264" s="6">
        <v>33.18</v>
      </c>
      <c r="E264" s="4" t="s">
        <v>84</v>
      </c>
      <c r="F264" s="7" t="str">
        <f t="array" ref="F264">IFERROR(
  INDEX(lookup_table!B:B,
        MATCH(TRUE,
              ISNUMBER(SEARCH(lookup_table!A:A,C264)),
        0)
  ),
"Uncategorized")
</f>
        <v>Transportation</v>
      </c>
      <c r="G264" s="1" t="s">
        <v>21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9">
        <v>45813.0</v>
      </c>
      <c r="B265" s="4" t="str">
        <f t="shared" si="1"/>
        <v>2025-06</v>
      </c>
      <c r="C265" s="2" t="s">
        <v>81</v>
      </c>
      <c r="D265" s="6">
        <v>15.98</v>
      </c>
      <c r="E265" s="4" t="s">
        <v>28</v>
      </c>
      <c r="F265" s="7" t="str">
        <f t="array" ref="F265">IFERROR(
  INDEX(lookup_table!B:B,
        MATCH(TRUE,
              ISNUMBER(SEARCH(lookup_table!A:A,C265)),
        0)
  ),
"Uncategorized")
</f>
        <v>Shopping</v>
      </c>
      <c r="G265" s="1" t="s">
        <v>10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8">
        <v>45814.0</v>
      </c>
      <c r="B266" s="4" t="str">
        <f t="shared" si="1"/>
        <v>2025-06</v>
      </c>
      <c r="C266" s="2" t="s">
        <v>29</v>
      </c>
      <c r="D266" s="6">
        <v>50.0</v>
      </c>
      <c r="E266" s="4" t="s">
        <v>30</v>
      </c>
      <c r="F266" s="7" t="str">
        <f t="array" ref="F266">IFERROR(
  INDEX(lookup_table!B:B,
        MATCH(TRUE,
              ISNUMBER(SEARCH(lookup_table!A:A,C266)),
        0)
  ),
"Uncategorized")
</f>
        <v>Bills</v>
      </c>
      <c r="G266" s="1" t="s">
        <v>13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8">
        <v>45814.0</v>
      </c>
      <c r="B267" s="4" t="str">
        <f t="shared" si="1"/>
        <v>2025-06</v>
      </c>
      <c r="C267" s="2" t="s">
        <v>31</v>
      </c>
      <c r="D267" s="6">
        <v>346.3</v>
      </c>
      <c r="E267" s="4" t="s">
        <v>32</v>
      </c>
      <c r="F267" s="7" t="str">
        <f t="array" ref="F267">IFERROR(
  INDEX(lookup_table!B:B,
        MATCH(TRUE,
              ISNUMBER(SEARCH(lookup_table!A:A,C267)),
        0)
  ),
"Uncategorized")
</f>
        <v>Bills</v>
      </c>
      <c r="G267" s="1" t="s">
        <v>13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9">
        <v>45814.0</v>
      </c>
      <c r="B268" s="4" t="str">
        <f t="shared" si="1"/>
        <v>2025-06</v>
      </c>
      <c r="C268" s="2" t="s">
        <v>179</v>
      </c>
      <c r="D268" s="6">
        <v>102.94</v>
      </c>
      <c r="E268" s="4" t="s">
        <v>35</v>
      </c>
      <c r="F268" s="7" t="str">
        <f t="array" ref="F268">IFERROR(
  INDEX(lookup_table!B:B,
        MATCH(TRUE,
              ISNUMBER(SEARCH(lookup_table!A:A,C268)),
        0)
  ),
"Uncategorized")
</f>
        <v>Shopping</v>
      </c>
      <c r="G268" s="1" t="s">
        <v>21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9">
        <v>45815.0</v>
      </c>
      <c r="B269" s="4" t="str">
        <f t="shared" si="1"/>
        <v>2025-06</v>
      </c>
      <c r="C269" s="2" t="s">
        <v>180</v>
      </c>
      <c r="D269" s="6">
        <v>36.77</v>
      </c>
      <c r="E269" s="4" t="s">
        <v>9</v>
      </c>
      <c r="F269" s="7" t="str">
        <f t="array" ref="F269">IFERROR(
  INDEX(lookup_table!B:B,
        MATCH(TRUE,
              ISNUMBER(SEARCH(lookup_table!A:A,C269)),
        0)
  ),
"Uncategorized")
</f>
        <v>Dining Out</v>
      </c>
      <c r="G269" s="1" t="s">
        <v>21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9">
        <v>45816.0</v>
      </c>
      <c r="B270" s="4" t="str">
        <f t="shared" si="1"/>
        <v>2025-06</v>
      </c>
      <c r="C270" s="2" t="s">
        <v>85</v>
      </c>
      <c r="D270" s="6">
        <v>17.4</v>
      </c>
      <c r="E270" s="4" t="s">
        <v>84</v>
      </c>
      <c r="F270" s="7" t="str">
        <f t="array" ref="F270">IFERROR(
  INDEX(lookup_table!B:B,
        MATCH(TRUE,
              ISNUMBER(SEARCH(lookup_table!A:A,C270)),
        0)
  ),
"Uncategorized")
</f>
        <v>Groceries</v>
      </c>
      <c r="G270" s="1" t="s">
        <v>21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9">
        <v>45816.0</v>
      </c>
      <c r="B271" s="4" t="str">
        <f t="shared" si="1"/>
        <v>2025-06</v>
      </c>
      <c r="C271" s="2" t="s">
        <v>85</v>
      </c>
      <c r="D271" s="6">
        <v>60.71</v>
      </c>
      <c r="E271" s="4" t="s">
        <v>84</v>
      </c>
      <c r="F271" s="7" t="str">
        <f t="array" ref="F271">IFERROR(
  INDEX(lookup_table!B:B,
        MATCH(TRUE,
              ISNUMBER(SEARCH(lookup_table!A:A,C271)),
        0)
  ),
"Uncategorized")
</f>
        <v>Groceries</v>
      </c>
      <c r="G271" s="1" t="s">
        <v>21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9">
        <v>45819.0</v>
      </c>
      <c r="B272" s="4" t="str">
        <f t="shared" si="1"/>
        <v>2025-06</v>
      </c>
      <c r="C272" s="2" t="s">
        <v>181</v>
      </c>
      <c r="D272" s="6">
        <v>61.28</v>
      </c>
      <c r="E272" s="4" t="s">
        <v>9</v>
      </c>
      <c r="F272" s="7" t="str">
        <f t="array" ref="F272">IFERROR(
  INDEX(lookup_table!B:B,
        MATCH(TRUE,
              ISNUMBER(SEARCH(lookup_table!A:A,C272)),
        0)
  ),
"Uncategorized")
</f>
        <v>Groceries</v>
      </c>
      <c r="G272" s="1" t="s">
        <v>10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9">
        <v>45820.0</v>
      </c>
      <c r="B273" s="4" t="str">
        <f t="shared" si="1"/>
        <v>2025-06</v>
      </c>
      <c r="C273" s="2" t="s">
        <v>82</v>
      </c>
      <c r="D273" s="6">
        <v>17.57</v>
      </c>
      <c r="E273" s="4" t="s">
        <v>28</v>
      </c>
      <c r="F273" s="7" t="str">
        <f t="array" ref="F273">IFERROR(
  INDEX(lookup_table!B:B,
        MATCH(TRUE,
              ISNUMBER(SEARCH(lookup_table!A:A,C273)),
        0)
  ),
"Uncategorized")
</f>
        <v>Dining Out</v>
      </c>
      <c r="G273" s="1" t="s">
        <v>10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9">
        <v>45820.0</v>
      </c>
      <c r="B274" s="4" t="str">
        <f t="shared" si="1"/>
        <v>2025-06</v>
      </c>
      <c r="C274" s="2" t="s">
        <v>48</v>
      </c>
      <c r="D274" s="6">
        <v>40.03</v>
      </c>
      <c r="E274" s="4" t="s">
        <v>84</v>
      </c>
      <c r="F274" s="7" t="str">
        <f t="array" ref="F274">IFERROR(
  INDEX(lookup_table!B:B,
        MATCH(TRUE,
              ISNUMBER(SEARCH(lookup_table!A:A,C274)),
        0)
  ),
"Uncategorized")
</f>
        <v>Groceries</v>
      </c>
      <c r="G274" s="1" t="s">
        <v>21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9">
        <v>45820.0</v>
      </c>
      <c r="B275" s="4" t="str">
        <f t="shared" si="1"/>
        <v>2025-06</v>
      </c>
      <c r="C275" s="2" t="s">
        <v>85</v>
      </c>
      <c r="D275" s="6">
        <v>14.8</v>
      </c>
      <c r="E275" s="4" t="s">
        <v>84</v>
      </c>
      <c r="F275" s="7" t="str">
        <f t="array" ref="F275">IFERROR(
  INDEX(lookup_table!B:B,
        MATCH(TRUE,
              ISNUMBER(SEARCH(lookup_table!A:A,C275)),
        0)
  ),
"Uncategorized")
</f>
        <v>Groceries</v>
      </c>
      <c r="G275" s="1" t="s">
        <v>21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9">
        <v>45821.0</v>
      </c>
      <c r="B276" s="4" t="str">
        <f t="shared" si="1"/>
        <v>2025-06</v>
      </c>
      <c r="C276" s="2" t="s">
        <v>182</v>
      </c>
      <c r="D276" s="6">
        <v>40.58</v>
      </c>
      <c r="E276" s="4" t="s">
        <v>9</v>
      </c>
      <c r="F276" s="7" t="str">
        <f t="array" ref="F276">IFERROR(
  INDEX(lookup_table!B:B,
        MATCH(TRUE,
              ISNUMBER(SEARCH(lookup_table!A:A,C276)),
        0)
  ),
"Uncategorized")
</f>
        <v>Dining Out</v>
      </c>
      <c r="G276" s="1" t="s">
        <v>10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9">
        <v>45821.0</v>
      </c>
      <c r="B277" s="4" t="str">
        <f t="shared" si="1"/>
        <v>2025-06</v>
      </c>
      <c r="C277" s="2" t="s">
        <v>81</v>
      </c>
      <c r="D277" s="6">
        <v>20.99</v>
      </c>
      <c r="E277" s="4" t="s">
        <v>28</v>
      </c>
      <c r="F277" s="7" t="str">
        <f t="array" ref="F277">IFERROR(
  INDEX(lookup_table!B:B,
        MATCH(TRUE,
              ISNUMBER(SEARCH(lookup_table!A:A,C277)),
        0)
  ),
"Uncategorized")
</f>
        <v>Shopping</v>
      </c>
      <c r="G277" s="1" t="s">
        <v>10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9">
        <v>45821.0</v>
      </c>
      <c r="B278" s="4" t="str">
        <f t="shared" si="1"/>
        <v>2025-06</v>
      </c>
      <c r="C278" s="2" t="s">
        <v>183</v>
      </c>
      <c r="D278" s="6">
        <v>13.59</v>
      </c>
      <c r="E278" s="4" t="s">
        <v>9</v>
      </c>
      <c r="F278" s="7" t="str">
        <f t="array" ref="F278">IFERROR(
  INDEX(lookup_table!B:B,
        MATCH(TRUE,
              ISNUMBER(SEARCH(lookup_table!A:A,C278)),
        0)
  ),
"Uncategorized")
</f>
        <v>Shopping</v>
      </c>
      <c r="G278" s="1" t="s">
        <v>10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9">
        <v>45821.0</v>
      </c>
      <c r="B279" s="4" t="str">
        <f t="shared" si="1"/>
        <v>2025-06</v>
      </c>
      <c r="C279" s="2" t="s">
        <v>184</v>
      </c>
      <c r="D279" s="6">
        <v>38.43</v>
      </c>
      <c r="E279" s="4" t="s">
        <v>9</v>
      </c>
      <c r="F279" s="7" t="str">
        <f t="array" ref="F279">IFERROR(
  INDEX(lookup_table!B:B,
        MATCH(TRUE,
              ISNUMBER(SEARCH(lookup_table!A:A,C279)),
        0)
  ),
"Uncategorized")
</f>
        <v>Shopping</v>
      </c>
      <c r="G279" s="1" t="s">
        <v>10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9">
        <v>45821.0</v>
      </c>
      <c r="B280" s="4" t="str">
        <f t="shared" si="1"/>
        <v>2025-06</v>
      </c>
      <c r="C280" s="2" t="s">
        <v>170</v>
      </c>
      <c r="D280" s="6">
        <v>15.77</v>
      </c>
      <c r="E280" s="4" t="s">
        <v>28</v>
      </c>
      <c r="F280" s="7" t="str">
        <f t="array" ref="F280">IFERROR(
  INDEX(lookup_table!B:B,
        MATCH(TRUE,
              ISNUMBER(SEARCH(lookup_table!A:A,C280)),
        0)
  ),
"Uncategorized")
</f>
        <v>Subscriptions</v>
      </c>
      <c r="G280" s="1" t="s">
        <v>10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8">
        <v>45821.0</v>
      </c>
      <c r="B281" s="4" t="str">
        <f t="shared" si="1"/>
        <v>2025-06</v>
      </c>
      <c r="C281" s="2" t="s">
        <v>86</v>
      </c>
      <c r="D281" s="6">
        <v>20.0</v>
      </c>
      <c r="E281" s="4" t="s">
        <v>185</v>
      </c>
      <c r="F281" s="7" t="str">
        <f t="array" ref="F281">IFERROR(
  INDEX(lookup_table!B:B,
        MATCH(TRUE,
              ISNUMBER(SEARCH(lookup_table!A:A,C281)),
        0)
  ),
"Uncategorized")
</f>
        <v>Withdrawal</v>
      </c>
      <c r="G281" s="1" t="s">
        <v>13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8">
        <v>45822.0</v>
      </c>
      <c r="B282" s="4" t="str">
        <f t="shared" si="1"/>
        <v>2025-06</v>
      </c>
      <c r="C282" s="2" t="s">
        <v>186</v>
      </c>
      <c r="D282" s="6">
        <v>6.0</v>
      </c>
      <c r="E282" s="4" t="s">
        <v>17</v>
      </c>
      <c r="F282" s="7" t="str">
        <f t="array" ref="F282">IFERROR(
  INDEX(lookup_table!B:B,
        MATCH(TRUE,
              ISNUMBER(SEARCH(lookup_table!A:A,C282)),
        0)
  ),
"Uncategorized")
</f>
        <v>Dining Out</v>
      </c>
      <c r="G282" s="1" t="s">
        <v>13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8">
        <v>45822.0</v>
      </c>
      <c r="B283" s="4" t="str">
        <f t="shared" si="1"/>
        <v>2025-06</v>
      </c>
      <c r="C283" s="2" t="s">
        <v>186</v>
      </c>
      <c r="D283" s="6">
        <v>6.0</v>
      </c>
      <c r="E283" s="4" t="s">
        <v>17</v>
      </c>
      <c r="F283" s="7" t="str">
        <f t="array" ref="F283">IFERROR(
  INDEX(lookup_table!B:B,
        MATCH(TRUE,
              ISNUMBER(SEARCH(lookup_table!A:A,C283)),
        0)
  ),
"Uncategorized")
</f>
        <v>Dining Out</v>
      </c>
      <c r="G283" s="1" t="s">
        <v>13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8">
        <v>45822.0</v>
      </c>
      <c r="B284" s="4" t="str">
        <f t="shared" si="1"/>
        <v>2025-06</v>
      </c>
      <c r="C284" s="2" t="s">
        <v>186</v>
      </c>
      <c r="D284" s="6">
        <v>12.0</v>
      </c>
      <c r="E284" s="4" t="s">
        <v>17</v>
      </c>
      <c r="F284" s="7" t="str">
        <f t="array" ref="F284">IFERROR(
  INDEX(lookup_table!B:B,
        MATCH(TRUE,
              ISNUMBER(SEARCH(lookup_table!A:A,C284)),
        0)
  ),
"Uncategorized")
</f>
        <v>Dining Out</v>
      </c>
      <c r="G284" s="1" t="s">
        <v>13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8">
        <v>45823.0</v>
      </c>
      <c r="B285" s="4" t="str">
        <f t="shared" si="1"/>
        <v>2025-06</v>
      </c>
      <c r="C285" s="2" t="s">
        <v>70</v>
      </c>
      <c r="D285" s="6">
        <v>14.48</v>
      </c>
      <c r="E285" s="4" t="s">
        <v>17</v>
      </c>
      <c r="F285" s="7" t="str">
        <f t="array" ref="F285">IFERROR(
  INDEX(lookup_table!B:B,
        MATCH(TRUE,
              ISNUMBER(SEARCH(lookup_table!A:A,C285)),
        0)
  ),
"Uncategorized")
</f>
        <v>Dining Out</v>
      </c>
      <c r="G285" s="1" t="s">
        <v>13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8">
        <v>45823.0</v>
      </c>
      <c r="B286" s="4" t="str">
        <f t="shared" si="1"/>
        <v>2025-06</v>
      </c>
      <c r="C286" s="2" t="s">
        <v>70</v>
      </c>
      <c r="D286" s="6">
        <v>7.24</v>
      </c>
      <c r="E286" s="4" t="s">
        <v>17</v>
      </c>
      <c r="F286" s="7" t="str">
        <f t="array" ref="F286">IFERROR(
  INDEX(lookup_table!B:B,
        MATCH(TRUE,
              ISNUMBER(SEARCH(lookup_table!A:A,C286)),
        0)
  ),
"Uncategorized")
</f>
        <v>Dining Out</v>
      </c>
      <c r="G286" s="1" t="s">
        <v>13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8">
        <v>45823.0</v>
      </c>
      <c r="B287" s="4" t="str">
        <f t="shared" si="1"/>
        <v>2025-06</v>
      </c>
      <c r="C287" s="2" t="s">
        <v>70</v>
      </c>
      <c r="D287" s="6">
        <v>7.24</v>
      </c>
      <c r="E287" s="4" t="s">
        <v>17</v>
      </c>
      <c r="F287" s="7" t="str">
        <f t="array" ref="F287">IFERROR(
  INDEX(lookup_table!B:B,
        MATCH(TRUE,
              ISNUMBER(SEARCH(lookup_table!A:A,C287)),
        0)
  ),
"Uncategorized")
</f>
        <v>Dining Out</v>
      </c>
      <c r="G287" s="1" t="s">
        <v>13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8">
        <v>45823.0</v>
      </c>
      <c r="B288" s="4" t="str">
        <f t="shared" si="1"/>
        <v>2025-06</v>
      </c>
      <c r="C288" s="2" t="s">
        <v>70</v>
      </c>
      <c r="D288" s="6">
        <v>7.24</v>
      </c>
      <c r="E288" s="4" t="s">
        <v>17</v>
      </c>
      <c r="F288" s="7" t="str">
        <f t="array" ref="F288">IFERROR(
  INDEX(lookup_table!B:B,
        MATCH(TRUE,
              ISNUMBER(SEARCH(lookup_table!A:A,C288)),
        0)
  ),
"Uncategorized")
</f>
        <v>Dining Out</v>
      </c>
      <c r="G288" s="1" t="s">
        <v>13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8">
        <v>45823.0</v>
      </c>
      <c r="B289" s="4" t="str">
        <f t="shared" si="1"/>
        <v>2025-06</v>
      </c>
      <c r="C289" s="2" t="s">
        <v>70</v>
      </c>
      <c r="D289" s="6">
        <v>7.24</v>
      </c>
      <c r="E289" s="4" t="s">
        <v>17</v>
      </c>
      <c r="F289" s="7" t="str">
        <f t="array" ref="F289">IFERROR(
  INDEX(lookup_table!B:B,
        MATCH(TRUE,
              ISNUMBER(SEARCH(lookup_table!A:A,C289)),
        0)
  ),
"Uncategorized")
</f>
        <v>Dining Out</v>
      </c>
      <c r="G289" s="1" t="s">
        <v>13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9">
        <v>45823.0</v>
      </c>
      <c r="B290" s="4" t="str">
        <f t="shared" si="1"/>
        <v>2025-06</v>
      </c>
      <c r="C290" s="2" t="s">
        <v>174</v>
      </c>
      <c r="D290" s="6">
        <v>17.88</v>
      </c>
      <c r="E290" s="4" t="s">
        <v>28</v>
      </c>
      <c r="F290" s="7" t="str">
        <f t="array" ref="F290">IFERROR(
  INDEX(lookup_table!B:B,
        MATCH(TRUE,
              ISNUMBER(SEARCH(lookup_table!A:A,C290)),
        0)
  ),
"Uncategorized")
</f>
        <v>Travel</v>
      </c>
      <c r="G290" s="1" t="s">
        <v>10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8">
        <v>45823.0</v>
      </c>
      <c r="B291" s="4" t="str">
        <f t="shared" si="1"/>
        <v>2025-06</v>
      </c>
      <c r="C291" s="2" t="s">
        <v>86</v>
      </c>
      <c r="D291" s="6">
        <v>23.0</v>
      </c>
      <c r="E291" s="4" t="s">
        <v>87</v>
      </c>
      <c r="F291" s="7" t="str">
        <f t="array" ref="F291">IFERROR(
  INDEX(lookup_table!B:B,
        MATCH(TRUE,
              ISNUMBER(SEARCH(lookup_table!A:A,C291)),
        0)
  ),
"Uncategorized")
</f>
        <v>Withdrawal</v>
      </c>
      <c r="G291" s="1" t="s">
        <v>13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8">
        <v>45824.0</v>
      </c>
      <c r="B292" s="4" t="str">
        <f t="shared" si="1"/>
        <v>2025-06</v>
      </c>
      <c r="C292" s="2" t="s">
        <v>58</v>
      </c>
      <c r="D292" s="6">
        <v>872.5</v>
      </c>
      <c r="E292" s="4" t="s">
        <v>59</v>
      </c>
      <c r="F292" s="7" t="str">
        <f t="array" ref="F292">IFERROR(
  INDEX(lookup_table!B:B,
        MATCH(TRUE,
              ISNUMBER(SEARCH(lookup_table!A:A,C292)),
        0)
  ),
"Uncategorized")
</f>
        <v>Bills</v>
      </c>
      <c r="G292" s="1" t="s">
        <v>13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9">
        <v>45824.0</v>
      </c>
      <c r="B293" s="4" t="str">
        <f t="shared" si="1"/>
        <v>2025-06</v>
      </c>
      <c r="C293" s="2" t="s">
        <v>187</v>
      </c>
      <c r="D293" s="6">
        <v>17.88</v>
      </c>
      <c r="E293" s="4" t="s">
        <v>57</v>
      </c>
      <c r="F293" s="7" t="str">
        <f t="array" ref="F293">IFERROR(
  INDEX(lookup_table!B:B,
        MATCH(TRUE,
              ISNUMBER(SEARCH(lookup_table!A:A,C293)),
        0)
  ),
"Uncategorized")
</f>
        <v>Entertainment</v>
      </c>
      <c r="G293" s="1" t="s">
        <v>10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9">
        <v>45824.0</v>
      </c>
      <c r="B294" s="4" t="str">
        <f t="shared" si="1"/>
        <v>2025-06</v>
      </c>
      <c r="C294" s="2" t="s">
        <v>161</v>
      </c>
      <c r="D294" s="6">
        <v>10.01</v>
      </c>
      <c r="E294" s="4" t="s">
        <v>28</v>
      </c>
      <c r="F294" s="7" t="str">
        <f t="array" ref="F294">IFERROR(
  INDEX(lookup_table!B:B,
        MATCH(TRUE,
              ISNUMBER(SEARCH(lookup_table!A:A,C294)),
        0)
  ),
"Uncategorized")
</f>
        <v>Shopping</v>
      </c>
      <c r="G294" s="1" t="s">
        <v>10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9">
        <v>45826.0</v>
      </c>
      <c r="B295" s="4" t="str">
        <f t="shared" si="1"/>
        <v>2025-06</v>
      </c>
      <c r="C295" s="2" t="s">
        <v>136</v>
      </c>
      <c r="D295" s="6">
        <v>53.36</v>
      </c>
      <c r="E295" s="4" t="s">
        <v>15</v>
      </c>
      <c r="F295" s="7" t="str">
        <f t="array" ref="F295">IFERROR(
  INDEX(lookup_table!B:B,
        MATCH(TRUE,
              ISNUMBER(SEARCH(lookup_table!A:A,C295)),
        0)
  ),
"Uncategorized")
</f>
        <v>Dining Out</v>
      </c>
      <c r="G295" s="1" t="s">
        <v>10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9">
        <v>45826.0</v>
      </c>
      <c r="B296" s="4" t="str">
        <f t="shared" si="1"/>
        <v>2025-06</v>
      </c>
      <c r="C296" s="2" t="s">
        <v>11</v>
      </c>
      <c r="D296" s="6">
        <v>35.46</v>
      </c>
      <c r="E296" s="4" t="s">
        <v>26</v>
      </c>
      <c r="F296" s="7" t="str">
        <f t="array" ref="F296">IFERROR(
  INDEX(lookup_table!B:B,
        MATCH(TRUE,
              ISNUMBER(SEARCH(lookup_table!A:A,C296)),
        0)
  ),
"Uncategorized")
</f>
        <v>Transportation</v>
      </c>
      <c r="G296" s="1" t="s">
        <v>10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9">
        <v>45828.0</v>
      </c>
      <c r="B297" s="4" t="str">
        <f t="shared" si="1"/>
        <v>2025-06</v>
      </c>
      <c r="C297" s="2" t="s">
        <v>188</v>
      </c>
      <c r="D297" s="6">
        <v>20.0</v>
      </c>
      <c r="E297" s="4" t="s">
        <v>28</v>
      </c>
      <c r="F297" s="7" t="str">
        <f t="array" ref="F297">IFERROR(
  INDEX(lookup_table!B:B,
        MATCH(TRUE,
              ISNUMBER(SEARCH(lookup_table!A:A,C297)),
        0)
  ),
"Uncategorized")
</f>
        <v>Dining Out</v>
      </c>
      <c r="G297" s="1" t="s">
        <v>10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8">
        <v>45828.0</v>
      </c>
      <c r="B298" s="4" t="str">
        <f t="shared" si="1"/>
        <v>2025-06</v>
      </c>
      <c r="C298" s="2" t="s">
        <v>153</v>
      </c>
      <c r="D298" s="6">
        <v>9.44</v>
      </c>
      <c r="E298" s="4" t="s">
        <v>87</v>
      </c>
      <c r="F298" s="7" t="str">
        <f t="array" ref="F298">IFERROR(
  INDEX(lookup_table!B:B,
        MATCH(TRUE,
              ISNUMBER(SEARCH(lookup_table!A:A,C298)),
        0)
  ),
"Uncategorized")
</f>
        <v>Groceries</v>
      </c>
      <c r="G298" s="1" t="s">
        <v>13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9">
        <v>45828.0</v>
      </c>
      <c r="B299" s="4" t="str">
        <f t="shared" si="1"/>
        <v>2025-06</v>
      </c>
      <c r="C299" s="2" t="s">
        <v>78</v>
      </c>
      <c r="D299" s="6">
        <v>40.75</v>
      </c>
      <c r="E299" s="4" t="s">
        <v>26</v>
      </c>
      <c r="F299" s="7" t="str">
        <f t="array" ref="F299">IFERROR(
  INDEX(lookup_table!B:B,
        MATCH(TRUE,
              ISNUMBER(SEARCH(lookup_table!A:A,C299)),
        0)
  ),
"Uncategorized")
</f>
        <v>Transportation</v>
      </c>
      <c r="G299" s="1" t="s">
        <v>10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8">
        <v>45829.0</v>
      </c>
      <c r="B300" s="4" t="str">
        <f t="shared" si="1"/>
        <v>2025-06</v>
      </c>
      <c r="C300" s="2" t="s">
        <v>189</v>
      </c>
      <c r="D300" s="6">
        <v>10.0</v>
      </c>
      <c r="E300" s="4" t="s">
        <v>17</v>
      </c>
      <c r="F300" s="7" t="str">
        <f t="array" ref="F300">IFERROR(
  INDEX(lookup_table!B:B,
        MATCH(TRUE,
              ISNUMBER(SEARCH(lookup_table!A:A,C300)),
        0)
  ),
"Uncategorized")
</f>
        <v>Entertainment</v>
      </c>
      <c r="G300" s="1" t="s">
        <v>13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8">
        <v>45829.0</v>
      </c>
      <c r="B301" s="4" t="str">
        <f t="shared" si="1"/>
        <v>2025-06</v>
      </c>
      <c r="C301" s="2" t="s">
        <v>190</v>
      </c>
      <c r="D301" s="6">
        <v>4.36</v>
      </c>
      <c r="E301" s="4" t="s">
        <v>87</v>
      </c>
      <c r="F301" s="7" t="str">
        <f t="array" ref="F301">IFERROR(
  INDEX(lookup_table!B:B,
        MATCH(TRUE,
              ISNUMBER(SEARCH(lookup_table!A:A,C301)),
        0)
  ),
"Uncategorized")
</f>
        <v>Entertainment</v>
      </c>
      <c r="G301" s="1" t="s">
        <v>13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9">
        <v>45829.0</v>
      </c>
      <c r="B302" s="4" t="str">
        <f t="shared" si="1"/>
        <v>2025-06</v>
      </c>
      <c r="C302" s="2" t="s">
        <v>191</v>
      </c>
      <c r="D302" s="6">
        <v>13.38</v>
      </c>
      <c r="E302" s="4" t="s">
        <v>9</v>
      </c>
      <c r="F302" s="7" t="str">
        <f t="array" ref="F302">IFERROR(
  INDEX(lookup_table!B:B,
        MATCH(TRUE,
              ISNUMBER(SEARCH(lookup_table!A:A,C302)),
        0)
  ),
"Uncategorized")
</f>
        <v>Travel</v>
      </c>
      <c r="G302" s="1" t="s">
        <v>10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9">
        <v>45831.0</v>
      </c>
      <c r="B303" s="4" t="str">
        <f t="shared" si="1"/>
        <v>2025-06</v>
      </c>
      <c r="C303" s="2" t="s">
        <v>192</v>
      </c>
      <c r="D303" s="6">
        <v>33.15</v>
      </c>
      <c r="E303" s="4" t="s">
        <v>26</v>
      </c>
      <c r="F303" s="7" t="str">
        <f t="array" ref="F303">IFERROR(
  INDEX(lookup_table!B:B,
        MATCH(TRUE,
              ISNUMBER(SEARCH(lookup_table!A:A,C303)),
        0)
  ),
"Uncategorized")
</f>
        <v>Shopping</v>
      </c>
      <c r="G303" s="1" t="s">
        <v>10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9">
        <v>45831.0</v>
      </c>
      <c r="B304" s="4" t="str">
        <f t="shared" si="1"/>
        <v>2025-06</v>
      </c>
      <c r="C304" s="2" t="s">
        <v>193</v>
      </c>
      <c r="D304" s="6">
        <v>32.66</v>
      </c>
      <c r="E304" s="4" t="s">
        <v>9</v>
      </c>
      <c r="F304" s="7" t="str">
        <f t="array" ref="F304">IFERROR(
  INDEX(lookup_table!B:B,
        MATCH(TRUE,
              ISNUMBER(SEARCH(lookup_table!A:A,C304)),
        0)
  ),
"Uncategorized")
</f>
        <v>Shopping</v>
      </c>
      <c r="G304" s="1" t="s">
        <v>10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9">
        <v>45831.0</v>
      </c>
      <c r="B305" s="4" t="str">
        <f t="shared" si="1"/>
        <v>2025-06</v>
      </c>
      <c r="C305" s="2" t="s">
        <v>194</v>
      </c>
      <c r="D305" s="6">
        <v>12.88</v>
      </c>
      <c r="E305" s="4" t="s">
        <v>9</v>
      </c>
      <c r="F305" s="7" t="str">
        <f t="array" ref="F305">IFERROR(
  INDEX(lookup_table!B:B,
        MATCH(TRUE,
              ISNUMBER(SEARCH(lookup_table!A:A,C305)),
        0)
  ),
"Uncategorized")
</f>
        <v>Travel</v>
      </c>
      <c r="G305" s="1" t="s">
        <v>10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9">
        <v>45832.0</v>
      </c>
      <c r="B306" s="4" t="str">
        <f t="shared" si="1"/>
        <v>2025-06</v>
      </c>
      <c r="C306" s="2" t="s">
        <v>85</v>
      </c>
      <c r="D306" s="6">
        <v>9.48</v>
      </c>
      <c r="E306" s="4" t="s">
        <v>84</v>
      </c>
      <c r="F306" s="7" t="str">
        <f t="array" ref="F306">IFERROR(
  INDEX(lookup_table!B:B,
        MATCH(TRUE,
              ISNUMBER(SEARCH(lookup_table!A:A,C306)),
        0)
  ),
"Uncategorized")
</f>
        <v>Groceries</v>
      </c>
      <c r="G306" s="1" t="s">
        <v>21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9">
        <v>45832.0</v>
      </c>
      <c r="B307" s="4" t="str">
        <f t="shared" si="1"/>
        <v>2025-06</v>
      </c>
      <c r="C307" s="2" t="s">
        <v>85</v>
      </c>
      <c r="D307" s="6">
        <v>29.51</v>
      </c>
      <c r="E307" s="4" t="s">
        <v>84</v>
      </c>
      <c r="F307" s="7" t="str">
        <f t="array" ref="F307">IFERROR(
  INDEX(lookup_table!B:B,
        MATCH(TRUE,
              ISNUMBER(SEARCH(lookup_table!A:A,C307)),
        0)
  ),
"Uncategorized")
</f>
        <v>Groceries</v>
      </c>
      <c r="G307" s="1" t="s">
        <v>21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9">
        <v>45833.0</v>
      </c>
      <c r="B308" s="4" t="str">
        <f t="shared" si="1"/>
        <v>2025-06</v>
      </c>
      <c r="C308" s="2" t="s">
        <v>43</v>
      </c>
      <c r="D308" s="6">
        <v>4.74</v>
      </c>
      <c r="E308" s="4" t="s">
        <v>79</v>
      </c>
      <c r="F308" s="7" t="str">
        <f t="array" ref="F308">IFERROR(
  INDEX(lookup_table!B:B,
        MATCH(TRUE,
              ISNUMBER(SEARCH(lookup_table!A:A,C308)),
        0)
  ),
"Uncategorized")
</f>
        <v>Subscriptions</v>
      </c>
      <c r="G308" s="1" t="s">
        <v>10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9">
        <v>45834.0</v>
      </c>
      <c r="B309" s="4" t="str">
        <f t="shared" si="1"/>
        <v>2025-06</v>
      </c>
      <c r="C309" s="10" t="s">
        <v>120</v>
      </c>
      <c r="D309" s="6">
        <v>123.36</v>
      </c>
      <c r="E309" s="4" t="s">
        <v>28</v>
      </c>
      <c r="F309" s="7" t="str">
        <f t="array" ref="F309">IFERROR(
  INDEX(lookup_table!B:B,
        MATCH(TRUE,
              ISNUMBER(SEARCH(lookup_table!A:A,C309)),
        0)
  ),
"Uncategorized")
</f>
        <v>Shopping</v>
      </c>
      <c r="G309" s="1" t="s">
        <v>10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8">
        <v>45834.0</v>
      </c>
      <c r="B310" s="4" t="str">
        <f t="shared" si="1"/>
        <v>2025-06</v>
      </c>
      <c r="C310" s="2" t="s">
        <v>11</v>
      </c>
      <c r="D310" s="6">
        <v>5.26</v>
      </c>
      <c r="E310" s="4" t="s">
        <v>12</v>
      </c>
      <c r="F310" s="7" t="str">
        <f t="array" ref="F310">IFERROR(
  INDEX(lookup_table!B:B,
        MATCH(TRUE,
              ISNUMBER(SEARCH(lookup_table!A:A,C310)),
        0)
  ),
"Uncategorized")
</f>
        <v>Transportation</v>
      </c>
      <c r="G310" s="1" t="s">
        <v>13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9">
        <v>45834.0</v>
      </c>
      <c r="B311" s="4" t="str">
        <f t="shared" si="1"/>
        <v>2025-06</v>
      </c>
      <c r="C311" s="2" t="s">
        <v>78</v>
      </c>
      <c r="D311" s="6">
        <v>9.19</v>
      </c>
      <c r="E311" s="4" t="s">
        <v>9</v>
      </c>
      <c r="F311" s="7" t="str">
        <f t="array" ref="F311">IFERROR(
  INDEX(lookup_table!B:B,
        MATCH(TRUE,
              ISNUMBER(SEARCH(lookup_table!A:A,C311)),
        0)
  ),
"Uncategorized")
</f>
        <v>Transportation</v>
      </c>
      <c r="G311" s="1" t="s">
        <v>10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9">
        <v>45835.0</v>
      </c>
      <c r="B312" s="4" t="str">
        <f t="shared" si="1"/>
        <v>2025-06</v>
      </c>
      <c r="C312" s="2" t="s">
        <v>36</v>
      </c>
      <c r="D312" s="6">
        <v>59.84</v>
      </c>
      <c r="E312" s="4" t="s">
        <v>35</v>
      </c>
      <c r="F312" s="7" t="str">
        <f t="array" ref="F312">IFERROR(
  INDEX(lookup_table!B:B,
        MATCH(TRUE,
              ISNUMBER(SEARCH(lookup_table!A:A,C312)),
        0)
  ),
"Uncategorized")
</f>
        <v>Bills</v>
      </c>
      <c r="G312" s="1" t="s">
        <v>21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9">
        <v>45835.0</v>
      </c>
      <c r="B313" s="4" t="str">
        <f t="shared" si="1"/>
        <v>2025-06</v>
      </c>
      <c r="C313" s="2" t="s">
        <v>85</v>
      </c>
      <c r="D313" s="6">
        <v>11.45</v>
      </c>
      <c r="E313" s="4" t="s">
        <v>84</v>
      </c>
      <c r="F313" s="7" t="str">
        <f t="array" ref="F313">IFERROR(
  INDEX(lookup_table!B:B,
        MATCH(TRUE,
              ISNUMBER(SEARCH(lookup_table!A:A,C313)),
        0)
  ),
"Uncategorized")
</f>
        <v>Groceries</v>
      </c>
      <c r="G313" s="1" t="s">
        <v>21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9">
        <v>45835.0</v>
      </c>
      <c r="B314" s="4" t="str">
        <f t="shared" si="1"/>
        <v>2025-06</v>
      </c>
      <c r="C314" s="2" t="s">
        <v>78</v>
      </c>
      <c r="D314" s="6">
        <v>10.83</v>
      </c>
      <c r="E314" s="4" t="s">
        <v>9</v>
      </c>
      <c r="F314" s="7" t="str">
        <f t="array" ref="F314">IFERROR(
  INDEX(lookup_table!B:B,
        MATCH(TRUE,
              ISNUMBER(SEARCH(lookup_table!A:A,C314)),
        0)
  ),
"Uncategorized")
</f>
        <v>Transportation</v>
      </c>
      <c r="G314" s="1" t="s">
        <v>10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8">
        <v>45837.0</v>
      </c>
      <c r="B315" s="4" t="str">
        <f t="shared" si="1"/>
        <v>2025-06</v>
      </c>
      <c r="C315" s="2" t="s">
        <v>70</v>
      </c>
      <c r="D315" s="6">
        <v>12.49</v>
      </c>
      <c r="E315" s="4" t="s">
        <v>17</v>
      </c>
      <c r="F315" s="7" t="str">
        <f t="array" ref="F315">IFERROR(
  INDEX(lookup_table!B:B,
        MATCH(TRUE,
              ISNUMBER(SEARCH(lookup_table!A:A,C315)),
        0)
  ),
"Uncategorized")
</f>
        <v>Dining Out</v>
      </c>
      <c r="G315" s="1" t="s">
        <v>13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9">
        <v>45838.0</v>
      </c>
      <c r="B316" s="4" t="str">
        <f t="shared" si="1"/>
        <v>2025-06</v>
      </c>
      <c r="C316" s="2" t="s">
        <v>118</v>
      </c>
      <c r="D316" s="6">
        <v>14.76</v>
      </c>
      <c r="E316" s="4" t="s">
        <v>195</v>
      </c>
      <c r="F316" s="7" t="str">
        <f t="array" ref="F316">IFERROR(
  INDEX(lookup_table!B:B,
        MATCH(TRUE,
              ISNUMBER(SEARCH(lookup_table!A:A,C316)),
        0)
  ),
"Uncategorized")
</f>
        <v>Groceries</v>
      </c>
      <c r="G316" s="1" t="s">
        <v>10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9">
        <v>45839.0</v>
      </c>
      <c r="B317" s="4" t="str">
        <f t="shared" si="1"/>
        <v>2025-07</v>
      </c>
      <c r="C317" s="2" t="s">
        <v>85</v>
      </c>
      <c r="D317" s="6">
        <v>55.53</v>
      </c>
      <c r="E317" s="4" t="s">
        <v>84</v>
      </c>
      <c r="F317" s="7" t="str">
        <f t="array" ref="F317">IFERROR(
  INDEX(lookup_table!B:B,
        MATCH(TRUE,
              ISNUMBER(SEARCH(lookup_table!A:A,C317)),
        0)
  ),
"Uncategorized")
</f>
        <v>Groceries</v>
      </c>
      <c r="G317" s="1" t="s">
        <v>21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9">
        <v>45840.0</v>
      </c>
      <c r="B318" s="4" t="str">
        <f t="shared" si="1"/>
        <v>2025-07</v>
      </c>
      <c r="C318" s="2" t="s">
        <v>161</v>
      </c>
      <c r="D318" s="6">
        <v>10.01</v>
      </c>
      <c r="E318" s="4" t="s">
        <v>28</v>
      </c>
      <c r="F318" s="7" t="str">
        <f t="array" ref="F318">IFERROR(
  INDEX(lookup_table!B:B,
        MATCH(TRUE,
              ISNUMBER(SEARCH(lookup_table!A:A,C318)),
        0)
  ),
"Uncategorized")
</f>
        <v>Shopping</v>
      </c>
      <c r="G318" s="1" t="s">
        <v>10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9">
        <v>45841.0</v>
      </c>
      <c r="B319" s="4" t="str">
        <f t="shared" si="1"/>
        <v>2025-07</v>
      </c>
      <c r="C319" s="2" t="s">
        <v>71</v>
      </c>
      <c r="D319" s="6">
        <v>39.0</v>
      </c>
      <c r="E319" s="4" t="s">
        <v>167</v>
      </c>
      <c r="F319" s="7" t="str">
        <f t="array" ref="F319">IFERROR(
  INDEX(lookup_table!B:B,
        MATCH(TRUE,
              ISNUMBER(SEARCH(lookup_table!A:A,C319)),
        0)
  ),
"Uncategorized")
</f>
        <v>Entertainment</v>
      </c>
      <c r="G319" s="1" t="s">
        <v>21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9">
        <v>45841.0</v>
      </c>
      <c r="B320" s="4" t="str">
        <f t="shared" si="1"/>
        <v>2025-07</v>
      </c>
      <c r="C320" s="2" t="s">
        <v>85</v>
      </c>
      <c r="D320" s="6">
        <v>36.33</v>
      </c>
      <c r="E320" s="4" t="s">
        <v>84</v>
      </c>
      <c r="F320" s="7" t="str">
        <f t="array" ref="F320">IFERROR(
  INDEX(lookup_table!B:B,
        MATCH(TRUE,
              ISNUMBER(SEARCH(lookup_table!A:A,C320)),
        0)
  ),
"Uncategorized")
</f>
        <v>Groceries</v>
      </c>
      <c r="G320" s="1" t="s">
        <v>21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8">
        <v>45842.0</v>
      </c>
      <c r="B321" s="4" t="str">
        <f t="shared" si="1"/>
        <v>2025-07</v>
      </c>
      <c r="C321" s="2" t="s">
        <v>70</v>
      </c>
      <c r="D321" s="6">
        <v>11.04</v>
      </c>
      <c r="E321" s="4" t="s">
        <v>17</v>
      </c>
      <c r="F321" s="7" t="str">
        <f t="array" ref="F321">IFERROR(
  INDEX(lookup_table!B:B,
        MATCH(TRUE,
              ISNUMBER(SEARCH(lookup_table!A:A,C321)),
        0)
  ),
"Uncategorized")
</f>
        <v>Dining Out</v>
      </c>
      <c r="G321" s="1" t="s">
        <v>13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8">
        <v>45842.0</v>
      </c>
      <c r="B322" s="4" t="str">
        <f t="shared" si="1"/>
        <v>2025-07</v>
      </c>
      <c r="C322" s="2" t="s">
        <v>70</v>
      </c>
      <c r="D322" s="6">
        <v>7.36</v>
      </c>
      <c r="E322" s="4" t="s">
        <v>17</v>
      </c>
      <c r="F322" s="7" t="str">
        <f t="array" ref="F322">IFERROR(
  INDEX(lookup_table!B:B,
        MATCH(TRUE,
              ISNUMBER(SEARCH(lookup_table!A:A,C322)),
        0)
  ),
"Uncategorized")
</f>
        <v>Dining Out</v>
      </c>
      <c r="G322" s="1" t="s">
        <v>13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8">
        <v>45844.0</v>
      </c>
      <c r="B323" s="4" t="str">
        <f t="shared" si="1"/>
        <v>2025-07</v>
      </c>
      <c r="C323" s="2" t="s">
        <v>196</v>
      </c>
      <c r="D323" s="6">
        <v>1.1</v>
      </c>
      <c r="E323" s="4" t="s">
        <v>197</v>
      </c>
      <c r="F323" s="7" t="str">
        <f t="array" ref="F323">IFERROR(
  INDEX(lookup_table!B:B,
        MATCH(TRUE,
              ISNUMBER(SEARCH(lookup_table!A:A,C323)),
        0)
  ),
"Uncategorized")
</f>
        <v>Bills</v>
      </c>
      <c r="G323" s="1" t="s">
        <v>13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8">
        <v>45844.0</v>
      </c>
      <c r="B324" s="4" t="str">
        <f t="shared" si="1"/>
        <v>2025-07</v>
      </c>
      <c r="C324" s="2" t="s">
        <v>198</v>
      </c>
      <c r="D324" s="6">
        <v>5.0</v>
      </c>
      <c r="E324" s="4" t="s">
        <v>40</v>
      </c>
      <c r="F324" s="7" t="str">
        <f t="array" ref="F324">IFERROR(
  INDEX(lookup_table!B:B,
        MATCH(TRUE,
              ISNUMBER(SEARCH(lookup_table!A:A,C324)),
        0)
  ),
"Uncategorized")
</f>
        <v>Dining Out</v>
      </c>
      <c r="G324" s="1" t="s">
        <v>13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8">
        <v>45844.0</v>
      </c>
      <c r="B325" s="4" t="str">
        <f t="shared" si="1"/>
        <v>2025-07</v>
      </c>
      <c r="C325" s="2" t="s">
        <v>198</v>
      </c>
      <c r="D325" s="6">
        <v>34.16</v>
      </c>
      <c r="E325" s="4" t="s">
        <v>40</v>
      </c>
      <c r="F325" s="7" t="str">
        <f t="array" ref="F325">IFERROR(
  INDEX(lookup_table!B:B,
        MATCH(TRUE,
              ISNUMBER(SEARCH(lookup_table!A:A,C325)),
        0)
  ),
"Uncategorized")
</f>
        <v>Dining Out</v>
      </c>
      <c r="G325" s="1" t="s">
        <v>13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8">
        <v>45845.0</v>
      </c>
      <c r="B326" s="4" t="str">
        <f t="shared" si="1"/>
        <v>2025-07</v>
      </c>
      <c r="C326" s="2" t="s">
        <v>31</v>
      </c>
      <c r="D326" s="6">
        <v>346.3</v>
      </c>
      <c r="E326" s="4" t="s">
        <v>32</v>
      </c>
      <c r="F326" s="7" t="str">
        <f t="array" ref="F326">IFERROR(
  INDEX(lookup_table!B:B,
        MATCH(TRUE,
              ISNUMBER(SEARCH(lookup_table!A:A,C326)),
        0)
  ),
"Uncategorized")
</f>
        <v>Bills</v>
      </c>
      <c r="G326" s="1" t="s">
        <v>13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8">
        <v>45845.0</v>
      </c>
      <c r="B327" s="4" t="str">
        <f t="shared" si="1"/>
        <v>2025-07</v>
      </c>
      <c r="C327" s="2" t="s">
        <v>14</v>
      </c>
      <c r="D327" s="6">
        <v>6.64</v>
      </c>
      <c r="E327" s="4" t="s">
        <v>15</v>
      </c>
      <c r="F327" s="7" t="str">
        <f t="array" ref="F327">IFERROR(
  INDEX(lookup_table!B:B,
        MATCH(TRUE,
              ISNUMBER(SEARCH(lookup_table!A:A,C327)),
        0)
  ),
"Uncategorized")
</f>
        <v>Groceries</v>
      </c>
      <c r="G327" s="1" t="s">
        <v>13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9">
        <v>45845.0</v>
      </c>
      <c r="B328" s="4" t="str">
        <f t="shared" si="1"/>
        <v>2025-07</v>
      </c>
      <c r="C328" s="2" t="s">
        <v>179</v>
      </c>
      <c r="D328" s="6">
        <v>80.89</v>
      </c>
      <c r="E328" s="4" t="s">
        <v>35</v>
      </c>
      <c r="F328" s="7" t="str">
        <f t="array" ref="F328">IFERROR(
  INDEX(lookup_table!B:B,
        MATCH(TRUE,
              ISNUMBER(SEARCH(lookup_table!A:A,C328)),
        0)
  ),
"Uncategorized")
</f>
        <v>Shopping</v>
      </c>
      <c r="G328" s="1" t="s">
        <v>21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9">
        <v>45845.0</v>
      </c>
      <c r="B329" s="4" t="str">
        <f t="shared" si="1"/>
        <v>2025-07</v>
      </c>
      <c r="C329" s="2" t="s">
        <v>199</v>
      </c>
      <c r="D329" s="6">
        <v>15.31</v>
      </c>
      <c r="E329" s="4" t="s">
        <v>9</v>
      </c>
      <c r="F329" s="7" t="str">
        <f t="array" ref="F329">IFERROR(
  INDEX(lookup_table!B:B,
        MATCH(TRUE,
              ISNUMBER(SEARCH(lookup_table!A:A,C329)),
        0)
  ),
"Uncategorized")
</f>
        <v>Shopping</v>
      </c>
      <c r="G329" s="1" t="s">
        <v>10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8">
        <v>45846.0</v>
      </c>
      <c r="B330" s="4" t="str">
        <f t="shared" si="1"/>
        <v>2025-07</v>
      </c>
      <c r="C330" s="2" t="s">
        <v>29</v>
      </c>
      <c r="D330" s="6">
        <v>50.0</v>
      </c>
      <c r="E330" s="4" t="s">
        <v>30</v>
      </c>
      <c r="F330" s="7" t="str">
        <f t="array" ref="F330">IFERROR(
  INDEX(lookup_table!B:B,
        MATCH(TRUE,
              ISNUMBER(SEARCH(lookup_table!A:A,C330)),
        0)
  ),
"Uncategorized")
</f>
        <v>Bills</v>
      </c>
      <c r="G330" s="1" t="s">
        <v>13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9">
        <v>45846.0</v>
      </c>
      <c r="B331" s="4" t="str">
        <f t="shared" si="1"/>
        <v>2025-07</v>
      </c>
      <c r="C331" s="2" t="s">
        <v>43</v>
      </c>
      <c r="D331" s="6">
        <v>8.97</v>
      </c>
      <c r="E331" s="4" t="s">
        <v>9</v>
      </c>
      <c r="F331" s="7" t="str">
        <f t="array" ref="F331">IFERROR(
  INDEX(lookup_table!B:B,
        MATCH(TRUE,
              ISNUMBER(SEARCH(lookup_table!A:A,C331)),
        0)
  ),
"Uncategorized")
</f>
        <v>Subscriptions</v>
      </c>
      <c r="G331" s="1" t="s">
        <v>10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9">
        <v>45847.0</v>
      </c>
      <c r="B332" s="4" t="str">
        <f t="shared" si="1"/>
        <v>2025-07</v>
      </c>
      <c r="C332" s="2" t="s">
        <v>200</v>
      </c>
      <c r="D332" s="6">
        <v>11.5</v>
      </c>
      <c r="E332" s="4" t="s">
        <v>9</v>
      </c>
      <c r="F332" s="7" t="str">
        <f t="array" ref="F332">IFERROR(
  INDEX(lookup_table!B:B,
        MATCH(TRUE,
              ISNUMBER(SEARCH(lookup_table!A:A,C332)),
        0)
  ),
"Uncategorized")
</f>
        <v>Transportation</v>
      </c>
      <c r="G332" s="1" t="s">
        <v>10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9">
        <v>45848.0</v>
      </c>
      <c r="B333" s="4" t="str">
        <f t="shared" si="1"/>
        <v>2025-07</v>
      </c>
      <c r="C333" s="2" t="s">
        <v>85</v>
      </c>
      <c r="D333" s="6">
        <v>43.24</v>
      </c>
      <c r="E333" s="4" t="s">
        <v>84</v>
      </c>
      <c r="F333" s="7" t="str">
        <f t="array" ref="F333">IFERROR(
  INDEX(lookup_table!B:B,
        MATCH(TRUE,
              ISNUMBER(SEARCH(lookup_table!A:A,C333)),
        0)
  ),
"Uncategorized")
</f>
        <v>Groceries</v>
      </c>
      <c r="G333" s="1" t="s">
        <v>21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8">
        <v>45851.0</v>
      </c>
      <c r="B334" s="4" t="str">
        <f t="shared" si="1"/>
        <v>2025-07</v>
      </c>
      <c r="C334" s="2" t="s">
        <v>70</v>
      </c>
      <c r="D334" s="6">
        <v>8.59</v>
      </c>
      <c r="E334" s="4" t="s">
        <v>17</v>
      </c>
      <c r="F334" s="7" t="str">
        <f t="array" ref="F334">IFERROR(
  INDEX(lookup_table!B:B,
        MATCH(TRUE,
              ISNUMBER(SEARCH(lookup_table!A:A,C334)),
        0)
  ),
"Uncategorized")
</f>
        <v>Dining Out</v>
      </c>
      <c r="G334" s="1" t="s">
        <v>13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9">
        <v>45851.0</v>
      </c>
      <c r="B335" s="4" t="str">
        <f t="shared" si="1"/>
        <v>2025-07</v>
      </c>
      <c r="C335" s="2" t="s">
        <v>170</v>
      </c>
      <c r="D335" s="6">
        <v>15.77</v>
      </c>
      <c r="E335" s="4" t="s">
        <v>28</v>
      </c>
      <c r="F335" s="7" t="str">
        <f t="array" ref="F335">IFERROR(
  INDEX(lookup_table!B:B,
        MATCH(TRUE,
              ISNUMBER(SEARCH(lookup_table!A:A,C335)),
        0)
  ),
"Uncategorized")
</f>
        <v>Subscriptions</v>
      </c>
      <c r="G335" s="1" t="s">
        <v>10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8">
        <v>45852.0</v>
      </c>
      <c r="B336" s="4" t="str">
        <f t="shared" si="1"/>
        <v>2025-07</v>
      </c>
      <c r="C336" s="2" t="s">
        <v>198</v>
      </c>
      <c r="D336" s="6">
        <v>5.0</v>
      </c>
      <c r="E336" s="4" t="s">
        <v>40</v>
      </c>
      <c r="F336" s="7" t="str">
        <f t="array" ref="F336">IFERROR(
  INDEX(lookup_table!B:B,
        MATCH(TRUE,
              ISNUMBER(SEARCH(lookup_table!A:A,C336)),
        0)
  ),
"Uncategorized")
</f>
        <v>Dining Out</v>
      </c>
      <c r="G336" s="1" t="s">
        <v>13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8">
        <v>45852.0</v>
      </c>
      <c r="B337" s="4" t="str">
        <f t="shared" si="1"/>
        <v>2025-07</v>
      </c>
      <c r="C337" s="2" t="s">
        <v>198</v>
      </c>
      <c r="D337" s="6">
        <v>12.4</v>
      </c>
      <c r="E337" s="4" t="s">
        <v>40</v>
      </c>
      <c r="F337" s="7" t="str">
        <f t="array" ref="F337">IFERROR(
  INDEX(lookup_table!B:B,
        MATCH(TRUE,
              ISNUMBER(SEARCH(lookup_table!A:A,C337)),
        0)
  ),
"Uncategorized")
</f>
        <v>Dining Out</v>
      </c>
      <c r="G337" s="1" t="s">
        <v>13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8">
        <v>45853.0</v>
      </c>
      <c r="B338" s="4" t="str">
        <f t="shared" si="1"/>
        <v>2025-07</v>
      </c>
      <c r="C338" s="2" t="s">
        <v>58</v>
      </c>
      <c r="D338" s="6">
        <v>872.5</v>
      </c>
      <c r="E338" s="4" t="s">
        <v>59</v>
      </c>
      <c r="F338" s="7" t="str">
        <f t="array" ref="F338">IFERROR(
  INDEX(lookup_table!B:B,
        MATCH(TRUE,
              ISNUMBER(SEARCH(lookup_table!A:A,C338)),
        0)
  ),
"Uncategorized")
</f>
        <v>Bills</v>
      </c>
      <c r="G338" s="1" t="s">
        <v>13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9">
        <v>45853.0</v>
      </c>
      <c r="B339" s="4" t="str">
        <f t="shared" si="1"/>
        <v>2025-07</v>
      </c>
      <c r="C339" s="2" t="s">
        <v>201</v>
      </c>
      <c r="D339" s="6">
        <v>8.29</v>
      </c>
      <c r="E339" s="4" t="s">
        <v>9</v>
      </c>
      <c r="F339" s="7" t="str">
        <f t="array" ref="F339">IFERROR(
  INDEX(lookup_table!B:B,
        MATCH(TRUE,
              ISNUMBER(SEARCH(lookup_table!A:A,C339)),
        0)
  ),
"Uncategorized")
</f>
        <v>Shopping</v>
      </c>
      <c r="G339" s="1" t="s">
        <v>10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9">
        <v>45854.0</v>
      </c>
      <c r="B340" s="4" t="str">
        <f t="shared" si="1"/>
        <v>2025-07</v>
      </c>
      <c r="C340" s="2" t="s">
        <v>81</v>
      </c>
      <c r="D340" s="6">
        <v>5.01</v>
      </c>
      <c r="E340" s="4" t="s">
        <v>28</v>
      </c>
      <c r="F340" s="7" t="str">
        <f t="array" ref="F340">IFERROR(
  INDEX(lookup_table!B:B,
        MATCH(TRUE,
              ISNUMBER(SEARCH(lookup_table!A:A,C340)),
        0)
  ),
"Uncategorized")
</f>
        <v>Shopping</v>
      </c>
      <c r="G340" s="1" t="s">
        <v>10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9">
        <v>45855.0</v>
      </c>
      <c r="B341" s="4" t="str">
        <f t="shared" si="1"/>
        <v>2025-07</v>
      </c>
      <c r="C341" s="2" t="s">
        <v>202</v>
      </c>
      <c r="D341" s="6">
        <v>9.48</v>
      </c>
      <c r="E341" s="4" t="s">
        <v>28</v>
      </c>
      <c r="F341" s="7" t="str">
        <f t="array" ref="F341">IFERROR(
  INDEX(lookup_table!B:B,
        MATCH(TRUE,
              ISNUMBER(SEARCH(lookup_table!A:A,C341)),
        0)
  ),
"Uncategorized")
</f>
        <v>Dining Out</v>
      </c>
      <c r="G341" s="1" t="s">
        <v>10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8">
        <v>45855.0</v>
      </c>
      <c r="B342" s="4" t="str">
        <f t="shared" si="1"/>
        <v>2025-07</v>
      </c>
      <c r="C342" s="2" t="s">
        <v>82</v>
      </c>
      <c r="D342" s="6">
        <v>12.74</v>
      </c>
      <c r="E342" s="4" t="s">
        <v>17</v>
      </c>
      <c r="F342" s="7" t="str">
        <f t="array" ref="F342">IFERROR(
  INDEX(lookup_table!B:B,
        MATCH(TRUE,
              ISNUMBER(SEARCH(lookup_table!A:A,C342)),
        0)
  ),
"Uncategorized")
</f>
        <v>Dining Out</v>
      </c>
      <c r="G342" s="1" t="s">
        <v>13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8">
        <v>45855.0</v>
      </c>
      <c r="B343" s="4" t="str">
        <f t="shared" si="1"/>
        <v>2025-07</v>
      </c>
      <c r="C343" s="2" t="s">
        <v>153</v>
      </c>
      <c r="D343" s="6">
        <v>11.61</v>
      </c>
      <c r="E343" s="4" t="s">
        <v>15</v>
      </c>
      <c r="F343" s="7" t="str">
        <f t="array" ref="F343">IFERROR(
  INDEX(lookup_table!B:B,
        MATCH(TRUE,
              ISNUMBER(SEARCH(lookup_table!A:A,C343)),
        0)
  ),
"Uncategorized")
</f>
        <v>Groceries</v>
      </c>
      <c r="G343" s="1" t="s">
        <v>13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9">
        <v>45855.0</v>
      </c>
      <c r="B344" s="4" t="str">
        <f t="shared" si="1"/>
        <v>2025-07</v>
      </c>
      <c r="C344" s="2" t="s">
        <v>27</v>
      </c>
      <c r="D344" s="6">
        <v>119.05</v>
      </c>
      <c r="E344" s="4" t="s">
        <v>28</v>
      </c>
      <c r="F344" s="7" t="str">
        <f t="array" ref="F344">IFERROR(
  INDEX(lookup_table!B:B,
        MATCH(TRUE,
              ISNUMBER(SEARCH(lookup_table!A:A,C344)),
        0)
  ),
"Uncategorized")
</f>
        <v>Shopping</v>
      </c>
      <c r="G344" s="1" t="s">
        <v>10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9">
        <v>45855.0</v>
      </c>
      <c r="B345" s="4" t="str">
        <f t="shared" si="1"/>
        <v>2025-07</v>
      </c>
      <c r="C345" s="2" t="s">
        <v>27</v>
      </c>
      <c r="D345" s="6">
        <v>49.6</v>
      </c>
      <c r="E345" s="4" t="s">
        <v>28</v>
      </c>
      <c r="F345" s="7" t="str">
        <f t="array" ref="F345">IFERROR(
  INDEX(lookup_table!B:B,
        MATCH(TRUE,
              ISNUMBER(SEARCH(lookup_table!A:A,C345)),
        0)
  ),
"Uncategorized")
</f>
        <v>Shopping</v>
      </c>
      <c r="G345" s="1" t="s">
        <v>10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9">
        <v>45855.0</v>
      </c>
      <c r="B346" s="4" t="str">
        <f t="shared" si="1"/>
        <v>2025-07</v>
      </c>
      <c r="C346" s="2" t="s">
        <v>192</v>
      </c>
      <c r="D346" s="6">
        <v>44.04</v>
      </c>
      <c r="E346" s="4" t="s">
        <v>167</v>
      </c>
      <c r="F346" s="7" t="str">
        <f t="array" ref="F346">IFERROR(
  INDEX(lookup_table!B:B,
        MATCH(TRUE,
              ISNUMBER(SEARCH(lookup_table!A:A,C346)),
        0)
  ),
"Uncategorized")
</f>
        <v>Shopping</v>
      </c>
      <c r="G346" s="1" t="s">
        <v>21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9">
        <v>45857.0</v>
      </c>
      <c r="B347" s="4" t="str">
        <f t="shared" si="1"/>
        <v>2025-07</v>
      </c>
      <c r="C347" s="2" t="s">
        <v>201</v>
      </c>
      <c r="D347" s="6">
        <v>8.18</v>
      </c>
      <c r="E347" s="4" t="s">
        <v>9</v>
      </c>
      <c r="F347" s="7" t="str">
        <f t="array" ref="F347">IFERROR(
  INDEX(lookup_table!B:B,
        MATCH(TRUE,
              ISNUMBER(SEARCH(lookup_table!A:A,C347)),
        0)
  ),
"Uncategorized")
</f>
        <v>Shopping</v>
      </c>
      <c r="G347" s="1" t="s">
        <v>10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8">
        <v>45857.0</v>
      </c>
      <c r="B348" s="4" t="str">
        <f t="shared" si="1"/>
        <v>2025-07</v>
      </c>
      <c r="C348" s="2" t="s">
        <v>203</v>
      </c>
      <c r="D348" s="6">
        <v>0.8</v>
      </c>
      <c r="E348" s="4" t="s">
        <v>87</v>
      </c>
      <c r="F348" s="7" t="str">
        <f t="array" ref="F348">IFERROR(
  INDEX(lookup_table!B:B,
        MATCH(TRUE,
              ISNUMBER(SEARCH(lookup_table!A:A,C348)),
        0)
  ),
"Uncategorized")
</f>
        <v>Transportation</v>
      </c>
      <c r="G348" s="1" t="s">
        <v>13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9">
        <v>45857.0</v>
      </c>
      <c r="B349" s="4" t="str">
        <f t="shared" si="1"/>
        <v>2025-07</v>
      </c>
      <c r="C349" s="2" t="s">
        <v>204</v>
      </c>
      <c r="D349" s="6">
        <v>44.66</v>
      </c>
      <c r="E349" s="4" t="s">
        <v>167</v>
      </c>
      <c r="F349" s="7" t="str">
        <f t="array" ref="F349">IFERROR(
  INDEX(lookup_table!B:B,
        MATCH(TRUE,
              ISNUMBER(SEARCH(lookup_table!A:A,C349)),
        0)
  ),
"Uncategorized")
</f>
        <v>Transportation</v>
      </c>
      <c r="G349" s="1" t="s">
        <v>21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8">
        <v>45857.0</v>
      </c>
      <c r="B350" s="4" t="str">
        <f t="shared" si="1"/>
        <v>2025-07</v>
      </c>
      <c r="C350" s="2" t="s">
        <v>205</v>
      </c>
      <c r="D350" s="6">
        <v>1.6</v>
      </c>
      <c r="E350" s="4" t="s">
        <v>87</v>
      </c>
      <c r="F350" s="7" t="str">
        <f t="array" ref="F350">IFERROR(
  INDEX(lookup_table!B:B,
        MATCH(TRUE,
              ISNUMBER(SEARCH(lookup_table!A:A,C350)),
        0)
  ),
"Uncategorized")
</f>
        <v>Transportation</v>
      </c>
      <c r="G350" s="1" t="s">
        <v>13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9">
        <v>45858.0</v>
      </c>
      <c r="B351" s="4" t="str">
        <f t="shared" si="1"/>
        <v>2025-07</v>
      </c>
      <c r="C351" s="2" t="s">
        <v>206</v>
      </c>
      <c r="D351" s="6">
        <v>11.31</v>
      </c>
      <c r="E351" s="4" t="s">
        <v>9</v>
      </c>
      <c r="F351" s="7" t="str">
        <f t="array" ref="F351">IFERROR(
  INDEX(lookup_table!B:B,
        MATCH(TRUE,
              ISNUMBER(SEARCH(lookup_table!A:A,C351)),
        0)
  ),
"Uncategorized")
</f>
        <v>Dining Out</v>
      </c>
      <c r="G351" s="1" t="s">
        <v>10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9">
        <v>45858.0</v>
      </c>
      <c r="B352" s="4" t="str">
        <f t="shared" si="1"/>
        <v>2025-07</v>
      </c>
      <c r="C352" s="2" t="s">
        <v>207</v>
      </c>
      <c r="D352" s="6">
        <v>29.25</v>
      </c>
      <c r="E352" s="4" t="s">
        <v>167</v>
      </c>
      <c r="F352" s="7" t="str">
        <f t="array" ref="F352">IFERROR(
  INDEX(lookup_table!B:B,
        MATCH(TRUE,
              ISNUMBER(SEARCH(lookup_table!A:A,C352)),
        0)
  ),
"Uncategorized")
</f>
        <v>Transportation</v>
      </c>
      <c r="G352" s="1" t="s">
        <v>21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9">
        <v>45858.0</v>
      </c>
      <c r="B353" s="4" t="str">
        <f t="shared" si="1"/>
        <v>2025-07</v>
      </c>
      <c r="C353" s="2" t="s">
        <v>204</v>
      </c>
      <c r="D353" s="6">
        <v>20.42</v>
      </c>
      <c r="E353" s="4" t="s">
        <v>167</v>
      </c>
      <c r="F353" s="7" t="str">
        <f t="array" ref="F353">IFERROR(
  INDEX(lookup_table!B:B,
        MATCH(TRUE,
              ISNUMBER(SEARCH(lookup_table!A:A,C353)),
        0)
  ),
"Uncategorized")
</f>
        <v>Transportation</v>
      </c>
      <c r="G353" s="1" t="s">
        <v>21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9">
        <v>45858.0</v>
      </c>
      <c r="B354" s="4" t="str">
        <f t="shared" si="1"/>
        <v>2025-07</v>
      </c>
      <c r="C354" s="2" t="s">
        <v>208</v>
      </c>
      <c r="D354" s="6">
        <v>11.0</v>
      </c>
      <c r="E354" s="4" t="s">
        <v>28</v>
      </c>
      <c r="F354" s="7" t="str">
        <f t="array" ref="F354">IFERROR(
  INDEX(lookup_table!B:B,
        MATCH(TRUE,
              ISNUMBER(SEARCH(lookup_table!A:A,C354)),
        0)
  ),
"Uncategorized")
</f>
        <v>Travel</v>
      </c>
      <c r="G354" s="1" t="s">
        <v>10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9">
        <v>45858.0</v>
      </c>
      <c r="B355" s="4" t="str">
        <f t="shared" si="1"/>
        <v>2025-07</v>
      </c>
      <c r="C355" s="2" t="s">
        <v>209</v>
      </c>
      <c r="D355" s="6">
        <v>36.98</v>
      </c>
      <c r="E355" s="4" t="s">
        <v>23</v>
      </c>
      <c r="F355" s="7" t="str">
        <f t="array" ref="F355">IFERROR(
  INDEX(lookup_table!B:B,
        MATCH(TRUE,
              ISNUMBER(SEARCH(lookup_table!A:A,C355)),
        0)
  ),
"Uncategorized")
</f>
        <v>Travel</v>
      </c>
      <c r="G355" s="1" t="s">
        <v>10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8">
        <v>45859.0</v>
      </c>
      <c r="B356" s="4" t="str">
        <f t="shared" si="1"/>
        <v>2025-07</v>
      </c>
      <c r="C356" s="2" t="s">
        <v>111</v>
      </c>
      <c r="D356" s="6">
        <v>0.25</v>
      </c>
      <c r="E356" s="4" t="s">
        <v>17</v>
      </c>
      <c r="F356" s="7" t="str">
        <f t="array" ref="F356">IFERROR(
  INDEX(lookup_table!B:B,
        MATCH(TRUE,
              ISNUMBER(SEARCH(lookup_table!A:A,C356)),
        0)
  ),
"Uncategorized")
</f>
        <v>Dining Out</v>
      </c>
      <c r="G356" s="1" t="s">
        <v>13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9">
        <v>45860.0</v>
      </c>
      <c r="B357" s="4" t="str">
        <f t="shared" si="1"/>
        <v>2025-07</v>
      </c>
      <c r="C357" s="2" t="s">
        <v>136</v>
      </c>
      <c r="D357" s="6">
        <v>9.28</v>
      </c>
      <c r="E357" s="4" t="s">
        <v>9</v>
      </c>
      <c r="F357" s="7" t="str">
        <f t="array" ref="F357">IFERROR(
  INDEX(lookup_table!B:B,
        MATCH(TRUE,
              ISNUMBER(SEARCH(lookup_table!A:A,C357)),
        0)
  ),
"Uncategorized")
</f>
        <v>Dining Out</v>
      </c>
      <c r="G357" s="1" t="s">
        <v>10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9">
        <v>45860.0</v>
      </c>
      <c r="B358" s="4" t="str">
        <f t="shared" si="1"/>
        <v>2025-07</v>
      </c>
      <c r="C358" s="2" t="s">
        <v>206</v>
      </c>
      <c r="D358" s="6">
        <v>11.31</v>
      </c>
      <c r="E358" s="4" t="s">
        <v>9</v>
      </c>
      <c r="F358" s="7" t="str">
        <f t="array" ref="F358">IFERROR(
  INDEX(lookup_table!B:B,
        MATCH(TRUE,
              ISNUMBER(SEARCH(lookup_table!A:A,C358)),
        0)
  ),
"Uncategorized")
</f>
        <v>Dining Out</v>
      </c>
      <c r="G358" s="1" t="s">
        <v>10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9">
        <v>45860.0</v>
      </c>
      <c r="B359" s="4" t="str">
        <f t="shared" si="1"/>
        <v>2025-07</v>
      </c>
      <c r="C359" s="2" t="s">
        <v>22</v>
      </c>
      <c r="D359" s="6">
        <v>17.66</v>
      </c>
      <c r="E359" s="4" t="s">
        <v>28</v>
      </c>
      <c r="F359" s="7" t="str">
        <f t="array" ref="F359">IFERROR(
  INDEX(lookup_table!B:B,
        MATCH(TRUE,
              ISNUMBER(SEARCH(lookup_table!A:A,C359)),
        0)
  ),
"Uncategorized")
</f>
        <v>Groceries</v>
      </c>
      <c r="G359" s="1" t="s">
        <v>10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8">
        <v>45860.0</v>
      </c>
      <c r="B360" s="4" t="str">
        <f t="shared" si="1"/>
        <v>2025-07</v>
      </c>
      <c r="C360" s="11" t="s">
        <v>130</v>
      </c>
      <c r="D360" s="6">
        <v>2.0</v>
      </c>
      <c r="E360" s="4" t="s">
        <v>129</v>
      </c>
      <c r="F360" s="7" t="str">
        <f t="array" ref="F360">IFERROR(
  INDEX(lookup_table!B:B,
        MATCH(TRUE,
              ISNUMBER(SEARCH(lookup_table!A:A,C360)),
        0)
  ),
"Uncategorized")
</f>
        <v>Travel</v>
      </c>
      <c r="G360" s="1" t="s">
        <v>13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9">
        <v>45861.0</v>
      </c>
      <c r="B361" s="4" t="str">
        <f t="shared" si="1"/>
        <v>2025-07</v>
      </c>
      <c r="C361" s="2" t="s">
        <v>136</v>
      </c>
      <c r="D361" s="6">
        <v>12.54</v>
      </c>
      <c r="E361" s="4" t="s">
        <v>9</v>
      </c>
      <c r="F361" s="7" t="str">
        <f t="array" ref="F361">IFERROR(
  INDEX(lookup_table!B:B,
        MATCH(TRUE,
              ISNUMBER(SEARCH(lookup_table!A:A,C361)),
        0)
  ),
"Uncategorized")
</f>
        <v>Dining Out</v>
      </c>
      <c r="G361" s="1" t="s">
        <v>10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9">
        <v>45861.0</v>
      </c>
      <c r="B362" s="4" t="str">
        <f t="shared" si="1"/>
        <v>2025-07</v>
      </c>
      <c r="C362" s="2" t="s">
        <v>70</v>
      </c>
      <c r="D362" s="6">
        <v>36.38</v>
      </c>
      <c r="E362" s="4" t="s">
        <v>23</v>
      </c>
      <c r="F362" s="7" t="str">
        <f t="array" ref="F362">IFERROR(
  INDEX(lookup_table!B:B,
        MATCH(TRUE,
              ISNUMBER(SEARCH(lookup_table!A:A,C362)),
        0)
  ),
"Uncategorized")
</f>
        <v>Dining Out</v>
      </c>
      <c r="G362" s="1" t="s">
        <v>10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9">
        <v>45861.0</v>
      </c>
      <c r="B363" s="4" t="str">
        <f t="shared" si="1"/>
        <v>2025-07</v>
      </c>
      <c r="C363" s="2" t="s">
        <v>22</v>
      </c>
      <c r="D363" s="6">
        <v>17.66</v>
      </c>
      <c r="E363" s="4" t="s">
        <v>28</v>
      </c>
      <c r="F363" s="7" t="str">
        <f t="array" ref="F363">IFERROR(
  INDEX(lookup_table!B:B,
        MATCH(TRUE,
              ISNUMBER(SEARCH(lookup_table!A:A,C363)),
        0)
  ),
"Uncategorized")
</f>
        <v>Groceries</v>
      </c>
      <c r="G363" s="1" t="s">
        <v>10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9">
        <v>45861.0</v>
      </c>
      <c r="B364" s="4" t="str">
        <f t="shared" si="1"/>
        <v>2025-07</v>
      </c>
      <c r="C364" s="2" t="s">
        <v>210</v>
      </c>
      <c r="D364" s="6">
        <v>8.91</v>
      </c>
      <c r="E364" s="4" t="s">
        <v>28</v>
      </c>
      <c r="F364" s="7" t="str">
        <f t="array" ref="F364">IFERROR(
  INDEX(lookup_table!B:B,
        MATCH(TRUE,
              ISNUMBER(SEARCH(lookup_table!A:A,C364)),
        0)
  ),
"Uncategorized")
</f>
        <v>Transportation</v>
      </c>
      <c r="G364" s="1" t="s">
        <v>10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9">
        <v>45862.0</v>
      </c>
      <c r="B365" s="4" t="str">
        <f t="shared" si="1"/>
        <v>2025-07</v>
      </c>
      <c r="C365" s="2" t="s">
        <v>211</v>
      </c>
      <c r="D365" s="6">
        <v>9.0</v>
      </c>
      <c r="E365" s="4" t="s">
        <v>40</v>
      </c>
      <c r="F365" s="7" t="str">
        <f t="array" ref="F365">IFERROR(
  INDEX(lookup_table!B:B,
        MATCH(TRUE,
              ISNUMBER(SEARCH(lookup_table!A:A,C365)),
        0)
  ),
"Uncategorized")
</f>
        <v>Travel</v>
      </c>
      <c r="G365" s="1" t="s">
        <v>10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9">
        <v>45863.0</v>
      </c>
      <c r="B366" s="4" t="str">
        <f t="shared" si="1"/>
        <v>2025-07</v>
      </c>
      <c r="C366" s="2" t="s">
        <v>212</v>
      </c>
      <c r="D366" s="6">
        <v>48.0</v>
      </c>
      <c r="E366" s="4" t="s">
        <v>35</v>
      </c>
      <c r="F366" s="7" t="str">
        <f t="array" ref="F366">IFERROR(
  INDEX(lookup_table!B:B,
        MATCH(TRUE,
              ISNUMBER(SEARCH(lookup_table!A:A,C366)),
        0)
  ),
"Uncategorized")
</f>
        <v>Dining Out</v>
      </c>
      <c r="G366" s="1" t="s">
        <v>21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9">
        <v>45863.0</v>
      </c>
      <c r="B367" s="4" t="str">
        <f t="shared" si="1"/>
        <v>2025-07</v>
      </c>
      <c r="C367" s="2" t="s">
        <v>213</v>
      </c>
      <c r="D367" s="6">
        <v>98.61</v>
      </c>
      <c r="E367" s="4" t="s">
        <v>9</v>
      </c>
      <c r="F367" s="7" t="str">
        <f t="array" ref="F367">IFERROR(
  INDEX(lookup_table!B:B,
        MATCH(TRUE,
              ISNUMBER(SEARCH(lookup_table!A:A,C367)),
        0)
  ),
"Uncategorized")
</f>
        <v>Dining Out</v>
      </c>
      <c r="G367" s="1" t="s">
        <v>21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8">
        <v>45863.0</v>
      </c>
      <c r="B368" s="4" t="str">
        <f t="shared" si="1"/>
        <v>2025-07</v>
      </c>
      <c r="C368" s="2" t="s">
        <v>214</v>
      </c>
      <c r="D368" s="6">
        <v>2.49</v>
      </c>
      <c r="E368" s="4" t="s">
        <v>87</v>
      </c>
      <c r="F368" s="7" t="str">
        <f t="array" ref="F368">IFERROR(
  INDEX(lookup_table!B:B,
        MATCH(TRUE,
              ISNUMBER(SEARCH(lookup_table!A:A,C368)),
        0)
  ),
"Uncategorized")
</f>
        <v>Groceries</v>
      </c>
      <c r="G368" s="1" t="s">
        <v>13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9">
        <v>45863.0</v>
      </c>
      <c r="B369" s="4" t="str">
        <f t="shared" si="1"/>
        <v>2025-07</v>
      </c>
      <c r="C369" s="2" t="s">
        <v>138</v>
      </c>
      <c r="D369" s="6">
        <v>14.09</v>
      </c>
      <c r="E369" s="4" t="s">
        <v>9</v>
      </c>
      <c r="F369" s="7" t="str">
        <f t="array" ref="F369">IFERROR(
  INDEX(lookup_table!B:B,
        MATCH(TRUE,
              ISNUMBER(SEARCH(lookup_table!A:A,C369)),
        0)
  ),
"Uncategorized")
</f>
        <v>Shopping</v>
      </c>
      <c r="G369" s="1" t="s">
        <v>10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9">
        <v>45863.0</v>
      </c>
      <c r="B370" s="4" t="str">
        <f t="shared" si="1"/>
        <v>2025-07</v>
      </c>
      <c r="C370" s="2" t="s">
        <v>43</v>
      </c>
      <c r="D370" s="6">
        <v>4.74</v>
      </c>
      <c r="E370" s="4" t="s">
        <v>79</v>
      </c>
      <c r="F370" s="7" t="str">
        <f t="array" ref="F370">IFERROR(
  INDEX(lookup_table!B:B,
        MATCH(TRUE,
              ISNUMBER(SEARCH(lookup_table!A:A,C370)),
        0)
  ),
"Uncategorized")
</f>
        <v>Subscriptions</v>
      </c>
      <c r="G370" s="1" t="s">
        <v>10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8">
        <v>45863.0</v>
      </c>
      <c r="B371" s="4" t="str">
        <f t="shared" si="1"/>
        <v>2025-07</v>
      </c>
      <c r="C371" s="2" t="s">
        <v>109</v>
      </c>
      <c r="D371" s="6">
        <v>1.99</v>
      </c>
      <c r="E371" s="4" t="s">
        <v>15</v>
      </c>
      <c r="F371" s="7" t="str">
        <f t="array" ref="F371">IFERROR(
  INDEX(lookup_table!B:B,
        MATCH(TRUE,
              ISNUMBER(SEARCH(lookup_table!A:A,C371)),
        0)
  ),
"Uncategorized")
</f>
        <v>Transportation</v>
      </c>
      <c r="G371" s="1" t="s">
        <v>13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9">
        <v>45863.0</v>
      </c>
      <c r="B372" s="4" t="str">
        <f t="shared" si="1"/>
        <v>2025-07</v>
      </c>
      <c r="C372" s="2" t="s">
        <v>215</v>
      </c>
      <c r="D372" s="6">
        <v>42.96</v>
      </c>
      <c r="E372" s="4" t="s">
        <v>167</v>
      </c>
      <c r="F372" s="7" t="str">
        <f t="array" ref="F372">IFERROR(
  INDEX(lookup_table!B:B,
        MATCH(TRUE,
              ISNUMBER(SEARCH(lookup_table!A:A,C372)),
        0)
  ),
"Uncategorized")
</f>
        <v>Transportation</v>
      </c>
      <c r="G372" s="1" t="s">
        <v>21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8">
        <v>45863.0</v>
      </c>
      <c r="B373" s="4" t="str">
        <f t="shared" si="1"/>
        <v>2025-07</v>
      </c>
      <c r="C373" s="2" t="s">
        <v>216</v>
      </c>
      <c r="D373" s="6">
        <v>3.75</v>
      </c>
      <c r="E373" s="4" t="s">
        <v>87</v>
      </c>
      <c r="F373" s="7" t="str">
        <f t="array" ref="F373">IFERROR(
  INDEX(lookup_table!B:B,
        MATCH(TRUE,
              ISNUMBER(SEARCH(lookup_table!A:A,C373)),
        0)
  ),
"Uncategorized")
</f>
        <v>Transportation</v>
      </c>
      <c r="G373" s="1" t="s">
        <v>13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9">
        <v>45863.0</v>
      </c>
      <c r="B374" s="4" t="str">
        <f t="shared" si="1"/>
        <v>2025-07</v>
      </c>
      <c r="C374" s="2" t="s">
        <v>208</v>
      </c>
      <c r="D374" s="6">
        <v>29.0</v>
      </c>
      <c r="E374" s="4" t="s">
        <v>28</v>
      </c>
      <c r="F374" s="7" t="str">
        <f t="array" ref="F374">IFERROR(
  INDEX(lookup_table!B:B,
        MATCH(TRUE,
              ISNUMBER(SEARCH(lookup_table!A:A,C374)),
        0)
  ),
"Uncategorized")
</f>
        <v>Travel</v>
      </c>
      <c r="G374" s="1" t="s">
        <v>10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9">
        <v>45864.0</v>
      </c>
      <c r="B375" s="4" t="str">
        <f t="shared" si="1"/>
        <v>2025-07</v>
      </c>
      <c r="C375" s="2" t="s">
        <v>34</v>
      </c>
      <c r="D375" s="6">
        <v>11.8</v>
      </c>
      <c r="E375" s="4" t="s">
        <v>28</v>
      </c>
      <c r="F375" s="7" t="str">
        <f t="array" ref="F375">IFERROR(
  INDEX(lookup_table!B:B,
        MATCH(TRUE,
              ISNUMBER(SEARCH(lookup_table!A:A,C375)),
        0)
  ),
"Uncategorized")
</f>
        <v>Bills</v>
      </c>
      <c r="G375" s="1" t="s">
        <v>10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9">
        <v>45864.0</v>
      </c>
      <c r="B376" s="4" t="str">
        <f t="shared" si="1"/>
        <v>2025-07</v>
      </c>
      <c r="C376" s="2" t="s">
        <v>217</v>
      </c>
      <c r="D376" s="6">
        <v>10.71</v>
      </c>
      <c r="E376" s="4" t="s">
        <v>9</v>
      </c>
      <c r="F376" s="7" t="str">
        <f t="array" ref="F376">IFERROR(
  INDEX(lookup_table!B:B,
        MATCH(TRUE,
              ISNUMBER(SEARCH(lookup_table!A:A,C376)),
        0)
  ),
"Uncategorized")
</f>
        <v>Shopping</v>
      </c>
      <c r="G376" s="1" t="s">
        <v>10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9">
        <v>45864.0</v>
      </c>
      <c r="B377" s="4" t="str">
        <f t="shared" si="1"/>
        <v>2025-07</v>
      </c>
      <c r="C377" s="2" t="s">
        <v>138</v>
      </c>
      <c r="D377" s="6">
        <v>10.74</v>
      </c>
      <c r="E377" s="4" t="s">
        <v>9</v>
      </c>
      <c r="F377" s="7" t="str">
        <f t="array" ref="F377">IFERROR(
  INDEX(lookup_table!B:B,
        MATCH(TRUE,
              ISNUMBER(SEARCH(lookup_table!A:A,C377)),
        0)
  ),
"Uncategorized")
</f>
        <v>Shopping</v>
      </c>
      <c r="G377" s="1" t="s">
        <v>10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9">
        <v>45864.0</v>
      </c>
      <c r="B378" s="4" t="str">
        <f t="shared" si="1"/>
        <v>2025-07</v>
      </c>
      <c r="C378" s="2" t="s">
        <v>108</v>
      </c>
      <c r="D378" s="6">
        <v>31.43</v>
      </c>
      <c r="E378" s="4" t="s">
        <v>167</v>
      </c>
      <c r="F378" s="7" t="str">
        <f t="array" ref="F378">IFERROR(
  INDEX(lookup_table!B:B,
        MATCH(TRUE,
              ISNUMBER(SEARCH(lookup_table!A:A,C378)),
        0)
  ),
"Uncategorized")
</f>
        <v>Transportation</v>
      </c>
      <c r="G378" s="1" t="s">
        <v>21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9">
        <v>45864.0</v>
      </c>
      <c r="B379" s="4" t="str">
        <f t="shared" si="1"/>
        <v>2025-07</v>
      </c>
      <c r="C379" s="2" t="s">
        <v>109</v>
      </c>
      <c r="D379" s="6">
        <v>29.07</v>
      </c>
      <c r="E379" s="4" t="s">
        <v>167</v>
      </c>
      <c r="F379" s="7" t="str">
        <f t="array" ref="F379">IFERROR(
  INDEX(lookup_table!B:B,
        MATCH(TRUE,
              ISNUMBER(SEARCH(lookup_table!A:A,C379)),
        0)
  ),
"Uncategorized")
</f>
        <v>Transportation</v>
      </c>
      <c r="G379" s="1" t="s">
        <v>21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9">
        <v>45865.0</v>
      </c>
      <c r="B380" s="4" t="str">
        <f t="shared" si="1"/>
        <v>2025-07</v>
      </c>
      <c r="C380" s="2" t="s">
        <v>153</v>
      </c>
      <c r="D380" s="6">
        <v>42.23</v>
      </c>
      <c r="E380" s="4" t="s">
        <v>25</v>
      </c>
      <c r="F380" s="7" t="str">
        <f t="array" ref="F380">IFERROR(
  INDEX(lookup_table!B:B,
        MATCH(TRUE,
              ISNUMBER(SEARCH(lookup_table!A:A,C380)),
        0)
  ),
"Uncategorized")
</f>
        <v>Groceries</v>
      </c>
      <c r="G380" s="1" t="s">
        <v>21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9">
        <v>45865.0</v>
      </c>
      <c r="B381" s="4" t="str">
        <f t="shared" si="1"/>
        <v>2025-07</v>
      </c>
      <c r="C381" s="2" t="s">
        <v>85</v>
      </c>
      <c r="D381" s="6">
        <v>37.82</v>
      </c>
      <c r="E381" s="4" t="s">
        <v>84</v>
      </c>
      <c r="F381" s="7" t="str">
        <f t="array" ref="F381">IFERROR(
  INDEX(lookup_table!B:B,
        MATCH(TRUE,
              ISNUMBER(SEARCH(lookup_table!A:A,C381)),
        0)
  ),
"Uncategorized")
</f>
        <v>Groceries</v>
      </c>
      <c r="G381" s="1" t="s">
        <v>21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8">
        <v>45865.0</v>
      </c>
      <c r="B382" s="4" t="str">
        <f t="shared" si="1"/>
        <v>2025-07</v>
      </c>
      <c r="C382" s="2" t="s">
        <v>218</v>
      </c>
      <c r="D382" s="6">
        <v>2.35</v>
      </c>
      <c r="E382" s="4" t="s">
        <v>12</v>
      </c>
      <c r="F382" s="7" t="str">
        <f t="array" ref="F382">IFERROR(
  INDEX(lookup_table!B:B,
        MATCH(TRUE,
              ISNUMBER(SEARCH(lookup_table!A:A,C382)),
        0)
  ),
"Uncategorized")
</f>
        <v>Transportation</v>
      </c>
      <c r="G382" s="1" t="s">
        <v>13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9">
        <v>45865.0</v>
      </c>
      <c r="B383" s="4" t="str">
        <f t="shared" si="1"/>
        <v>2025-07</v>
      </c>
      <c r="C383" s="2" t="s">
        <v>219</v>
      </c>
      <c r="D383" s="6">
        <v>29.17</v>
      </c>
      <c r="E383" s="4" t="s">
        <v>9</v>
      </c>
      <c r="F383" s="7" t="str">
        <f t="array" ref="F383">IFERROR(
  INDEX(lookup_table!B:B,
        MATCH(TRUE,
              ISNUMBER(SEARCH(lookup_table!A:A,C383)),
        0)
  ),
"Uncategorized")
</f>
        <v>Travel</v>
      </c>
      <c r="G383" s="1" t="s">
        <v>21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9">
        <v>45868.0</v>
      </c>
      <c r="B384" s="4" t="str">
        <f t="shared" si="1"/>
        <v>2025-07</v>
      </c>
      <c r="C384" s="2" t="s">
        <v>36</v>
      </c>
      <c r="D384" s="6">
        <v>59.86</v>
      </c>
      <c r="E384" s="4" t="s">
        <v>35</v>
      </c>
      <c r="F384" s="7" t="str">
        <f t="array" ref="F384">IFERROR(
  INDEX(lookup_table!B:B,
        MATCH(TRUE,
              ISNUMBER(SEARCH(lookup_table!A:A,C384)),
        0)
  ),
"Uncategorized")
</f>
        <v>Bills</v>
      </c>
      <c r="G384" s="1" t="s">
        <v>21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9">
        <v>45869.0</v>
      </c>
      <c r="B385" s="4" t="str">
        <f t="shared" si="1"/>
        <v>2025-07</v>
      </c>
      <c r="C385" s="2" t="s">
        <v>85</v>
      </c>
      <c r="D385" s="6">
        <v>16.45</v>
      </c>
      <c r="E385" s="4" t="s">
        <v>84</v>
      </c>
      <c r="F385" s="7" t="str">
        <f t="array" ref="F385">IFERROR(
  INDEX(lookup_table!B:B,
        MATCH(TRUE,
              ISNUMBER(SEARCH(lookup_table!A:A,C385)),
        0)
  ),
"Uncategorized")
</f>
        <v>Groceries</v>
      </c>
      <c r="G385" s="1" t="s">
        <v>21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9">
        <v>45871.0</v>
      </c>
      <c r="B386" s="4" t="str">
        <f t="shared" si="1"/>
        <v>2025-08</v>
      </c>
      <c r="C386" s="2" t="s">
        <v>140</v>
      </c>
      <c r="D386" s="6">
        <v>20.75</v>
      </c>
      <c r="E386" s="4" t="s">
        <v>9</v>
      </c>
      <c r="F386" s="7" t="str">
        <f t="array" ref="F386">IFERROR(
  INDEX(lookup_table!B:B,
        MATCH(TRUE,
              ISNUMBER(SEARCH(lookup_table!A:A,C386)),
        0)
  ),
"Uncategorized")
</f>
        <v>Transportation</v>
      </c>
      <c r="G386" s="1" t="s">
        <v>21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8">
        <v>45872.0</v>
      </c>
      <c r="B387" s="4" t="str">
        <f t="shared" si="1"/>
        <v>2025-08</v>
      </c>
      <c r="C387" s="2" t="s">
        <v>86</v>
      </c>
      <c r="D387" s="6">
        <v>22.0</v>
      </c>
      <c r="E387" s="4" t="s">
        <v>87</v>
      </c>
      <c r="F387" s="7" t="str">
        <f t="array" ref="F387">IFERROR(
  INDEX(lookup_table!B:B,
        MATCH(TRUE,
              ISNUMBER(SEARCH(lookup_table!A:A,C387)),
        0)
  ),
"Uncategorized")
</f>
        <v>Withdrawal</v>
      </c>
      <c r="G387" s="1" t="s">
        <v>13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8">
        <v>45875.0</v>
      </c>
      <c r="B388" s="4" t="str">
        <f t="shared" si="1"/>
        <v>2025-08</v>
      </c>
      <c r="C388" s="2" t="s">
        <v>29</v>
      </c>
      <c r="D388" s="6">
        <v>50.0</v>
      </c>
      <c r="E388" s="4" t="s">
        <v>30</v>
      </c>
      <c r="F388" s="7" t="str">
        <f t="array" ref="F388">IFERROR(
  INDEX(lookup_table!B:B,
        MATCH(TRUE,
              ISNUMBER(SEARCH(lookup_table!A:A,C388)),
        0)
  ),
"Uncategorized")
</f>
        <v>Bills</v>
      </c>
      <c r="G388" s="1" t="s">
        <v>13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8">
        <v>45875.0</v>
      </c>
      <c r="B389" s="4" t="str">
        <f t="shared" si="1"/>
        <v>2025-08</v>
      </c>
      <c r="C389" s="2" t="s">
        <v>31</v>
      </c>
      <c r="D389" s="6">
        <v>346.3</v>
      </c>
      <c r="E389" s="4" t="s">
        <v>32</v>
      </c>
      <c r="F389" s="7" t="str">
        <f t="array" ref="F389">IFERROR(
  INDEX(lookup_table!B:B,
        MATCH(TRUE,
              ISNUMBER(SEARCH(lookup_table!A:A,C389)),
        0)
  ),
"Uncategorized")
</f>
        <v>Bills</v>
      </c>
      <c r="G389" s="1" t="s">
        <v>13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9">
        <v>45875.0</v>
      </c>
      <c r="B390" s="4" t="str">
        <f t="shared" si="1"/>
        <v>2025-08</v>
      </c>
      <c r="C390" s="2" t="s">
        <v>19</v>
      </c>
      <c r="D390" s="6">
        <v>33.11</v>
      </c>
      <c r="E390" s="4" t="s">
        <v>167</v>
      </c>
      <c r="F390" s="7" t="str">
        <f t="array" ref="F390">IFERROR(
  INDEX(lookup_table!B:B,
        MATCH(TRUE,
              ISNUMBER(SEARCH(lookup_table!A:A,C390)),
        0)
  ),
"Uncategorized")
</f>
        <v>Transportation</v>
      </c>
      <c r="G390" s="1" t="s">
        <v>21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9">
        <v>45875.0</v>
      </c>
      <c r="B391" s="4" t="str">
        <f t="shared" si="1"/>
        <v>2025-08</v>
      </c>
      <c r="C391" s="2" t="s">
        <v>140</v>
      </c>
      <c r="D391" s="6">
        <v>73.85</v>
      </c>
      <c r="E391" s="4" t="s">
        <v>104</v>
      </c>
      <c r="F391" s="7" t="str">
        <f t="array" ref="F391">IFERROR(
  INDEX(lookup_table!B:B,
        MATCH(TRUE,
              ISNUMBER(SEARCH(lookup_table!A:A,C391)),
        0)
  ),
"Uncategorized")
</f>
        <v>Transportation</v>
      </c>
      <c r="G391" s="1" t="s">
        <v>21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9">
        <v>45875.0</v>
      </c>
      <c r="B392" s="4" t="str">
        <f t="shared" si="1"/>
        <v>2025-08</v>
      </c>
      <c r="C392" s="2" t="s">
        <v>220</v>
      </c>
      <c r="D392" s="6">
        <v>15.51</v>
      </c>
      <c r="E392" s="4" t="s">
        <v>9</v>
      </c>
      <c r="F392" s="7" t="str">
        <f t="array" ref="F392">IFERROR(
  INDEX(lookup_table!B:B,
        MATCH(TRUE,
              ISNUMBER(SEARCH(lookup_table!A:A,C392)),
        0)
  ),
"Uncategorized")
</f>
        <v>Travel</v>
      </c>
      <c r="G392" s="1" t="s">
        <v>10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9">
        <v>45875.0</v>
      </c>
      <c r="B393" s="4" t="str">
        <f t="shared" si="1"/>
        <v>2025-08</v>
      </c>
      <c r="C393" s="2" t="s">
        <v>54</v>
      </c>
      <c r="D393" s="6">
        <v>3.04</v>
      </c>
      <c r="E393" s="4" t="s">
        <v>23</v>
      </c>
      <c r="F393" s="7" t="str">
        <f t="array" ref="F393">IFERROR(
  INDEX(lookup_table!B:B,
        MATCH(TRUE,
              ISNUMBER(SEARCH(lookup_table!A:A,C393)),
        0)
  ),
"Uncategorized")
</f>
        <v>Travel</v>
      </c>
      <c r="G393" s="1" t="s">
        <v>10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9">
        <v>45876.0</v>
      </c>
      <c r="B394" s="4" t="str">
        <f t="shared" si="1"/>
        <v>2025-08</v>
      </c>
      <c r="C394" s="2" t="s">
        <v>153</v>
      </c>
      <c r="D394" s="6">
        <v>82.57</v>
      </c>
      <c r="E394" s="4" t="s">
        <v>25</v>
      </c>
      <c r="F394" s="7" t="str">
        <f t="array" ref="F394">IFERROR(
  INDEX(lookup_table!B:B,
        MATCH(TRUE,
              ISNUMBER(SEARCH(lookup_table!A:A,C394)),
        0)
  ),
"Uncategorized")
</f>
        <v>Groceries</v>
      </c>
      <c r="G394" s="1" t="s">
        <v>21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9">
        <v>45876.0</v>
      </c>
      <c r="B395" s="4" t="str">
        <f t="shared" si="1"/>
        <v>2025-08</v>
      </c>
      <c r="C395" s="2" t="s">
        <v>221</v>
      </c>
      <c r="D395" s="6">
        <v>83.13</v>
      </c>
      <c r="E395" s="4" t="s">
        <v>35</v>
      </c>
      <c r="F395" s="7" t="str">
        <f t="array" ref="F395">IFERROR(
  INDEX(lookup_table!B:B,
        MATCH(TRUE,
              ISNUMBER(SEARCH(lookup_table!A:A,C395)),
        0)
  ),
"Uncategorized")
</f>
        <v>Transportation</v>
      </c>
      <c r="G395" s="1" t="s">
        <v>21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9">
        <v>45877.0</v>
      </c>
      <c r="B396" s="4" t="str">
        <f t="shared" si="1"/>
        <v>2025-08</v>
      </c>
      <c r="C396" s="2" t="s">
        <v>153</v>
      </c>
      <c r="D396" s="6">
        <v>33.61</v>
      </c>
      <c r="E396" s="4" t="s">
        <v>25</v>
      </c>
      <c r="F396" s="7" t="str">
        <f t="array" ref="F396">IFERROR(
  INDEX(lookup_table!B:B,
        MATCH(TRUE,
              ISNUMBER(SEARCH(lookup_table!A:A,C396)),
        0)
  ),
"Uncategorized")
</f>
        <v>Groceries</v>
      </c>
      <c r="G396" s="1" t="s">
        <v>21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9">
        <v>45877.0</v>
      </c>
      <c r="B397" s="4" t="str">
        <f t="shared" si="1"/>
        <v>2025-08</v>
      </c>
      <c r="C397" s="2" t="s">
        <v>11</v>
      </c>
      <c r="D397" s="6">
        <v>30.0</v>
      </c>
      <c r="E397" s="4" t="s">
        <v>167</v>
      </c>
      <c r="F397" s="7" t="str">
        <f t="array" ref="F397">IFERROR(
  INDEX(lookup_table!B:B,
        MATCH(TRUE,
              ISNUMBER(SEARCH(lookup_table!A:A,C397)),
        0)
  ),
"Uncategorized")
</f>
        <v>Transportation</v>
      </c>
      <c r="G397" s="1" t="s">
        <v>21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9">
        <v>45879.0</v>
      </c>
      <c r="B398" s="4" t="str">
        <f t="shared" si="1"/>
        <v>2025-08</v>
      </c>
      <c r="C398" s="2" t="s">
        <v>222</v>
      </c>
      <c r="D398" s="6">
        <v>8.44</v>
      </c>
      <c r="E398" s="4" t="s">
        <v>15</v>
      </c>
      <c r="F398" s="7" t="str">
        <f t="array" ref="F398">IFERROR(
  INDEX(lookup_table!B:B,
        MATCH(TRUE,
              ISNUMBER(SEARCH(lookup_table!A:A,C398)),
        0)
  ),
"Uncategorized")
</f>
        <v>Shopping</v>
      </c>
      <c r="G398" s="1" t="s">
        <v>10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9">
        <v>45882.0</v>
      </c>
      <c r="B399" s="4" t="str">
        <f t="shared" si="1"/>
        <v>2025-08</v>
      </c>
      <c r="C399" s="2" t="s">
        <v>170</v>
      </c>
      <c r="D399" s="6">
        <v>15.77</v>
      </c>
      <c r="E399" s="4" t="s">
        <v>28</v>
      </c>
      <c r="F399" s="7" t="str">
        <f t="array" ref="F399">IFERROR(
  INDEX(lookup_table!B:B,
        MATCH(TRUE,
              ISNUMBER(SEARCH(lookup_table!A:A,C399)),
        0)
  ),
"Uncategorized")
</f>
        <v>Subscriptions</v>
      </c>
      <c r="G399" s="1" t="s">
        <v>10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9">
        <v>45883.0</v>
      </c>
      <c r="B400" s="4" t="str">
        <f t="shared" si="1"/>
        <v>2025-08</v>
      </c>
      <c r="C400" s="2" t="s">
        <v>27</v>
      </c>
      <c r="D400" s="6">
        <v>20.44</v>
      </c>
      <c r="E400" s="4" t="s">
        <v>28</v>
      </c>
      <c r="F400" s="7" t="str">
        <f t="array" ref="F400">IFERROR(
  INDEX(lookup_table!B:B,
        MATCH(TRUE,
              ISNUMBER(SEARCH(lookup_table!A:A,C400)),
        0)
  ),
"Uncategorized")
</f>
        <v>Shopping</v>
      </c>
      <c r="G400" s="1" t="s">
        <v>10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9">
        <v>45883.0</v>
      </c>
      <c r="B401" s="4" t="str">
        <f t="shared" si="1"/>
        <v>2025-08</v>
      </c>
      <c r="C401" s="2" t="s">
        <v>192</v>
      </c>
      <c r="D401" s="6">
        <v>25.9</v>
      </c>
      <c r="E401" s="4" t="s">
        <v>167</v>
      </c>
      <c r="F401" s="7" t="str">
        <f t="array" ref="F401">IFERROR(
  INDEX(lookup_table!B:B,
        MATCH(TRUE,
              ISNUMBER(SEARCH(lookup_table!A:A,C401)),
        0)
  ),
"Uncategorized")
</f>
        <v>Shopping</v>
      </c>
      <c r="G401" s="1" t="s">
        <v>21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9">
        <v>45883.0</v>
      </c>
      <c r="B402" s="4" t="str">
        <f t="shared" si="1"/>
        <v>2025-08</v>
      </c>
      <c r="C402" s="2" t="s">
        <v>223</v>
      </c>
      <c r="D402" s="6">
        <v>14.21</v>
      </c>
      <c r="E402" s="4" t="s">
        <v>28</v>
      </c>
      <c r="F402" s="7" t="str">
        <f t="array" ref="F402">IFERROR(
  INDEX(lookup_table!B:B,
        MATCH(TRUE,
              ISNUMBER(SEARCH(lookup_table!A:A,C402)),
        0)
  ),
"Uncategorized")
</f>
        <v>Shopping</v>
      </c>
      <c r="G402" s="1" t="s">
        <v>10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9">
        <v>45885.0</v>
      </c>
      <c r="B403" s="4" t="str">
        <f t="shared" si="1"/>
        <v>2025-08</v>
      </c>
      <c r="C403" s="2" t="s">
        <v>11</v>
      </c>
      <c r="D403" s="6">
        <v>12.87</v>
      </c>
      <c r="E403" s="4" t="s">
        <v>26</v>
      </c>
      <c r="F403" s="7" t="str">
        <f t="array" ref="F403">IFERROR(
  INDEX(lookup_table!B:B,
        MATCH(TRUE,
              ISNUMBER(SEARCH(lookup_table!A:A,C403)),
        0)
  ),
"Uncategorized")
</f>
        <v>Transportation</v>
      </c>
      <c r="G403" s="1" t="s">
        <v>10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9">
        <v>45886.0</v>
      </c>
      <c r="B404" s="4" t="str">
        <f t="shared" si="1"/>
        <v>2025-08</v>
      </c>
      <c r="C404" s="2" t="s">
        <v>24</v>
      </c>
      <c r="D404" s="6">
        <v>84.15</v>
      </c>
      <c r="E404" s="4" t="s">
        <v>25</v>
      </c>
      <c r="F404" s="7" t="str">
        <f t="array" ref="F404">IFERROR(
  INDEX(lookup_table!B:B,
        MATCH(TRUE,
              ISNUMBER(SEARCH(lookup_table!A:A,C404)),
        0)
  ),
"Uncategorized")
</f>
        <v>Shopping</v>
      </c>
      <c r="G404" s="1" t="s">
        <v>21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8">
        <v>45887.0</v>
      </c>
      <c r="B405" s="4" t="str">
        <f t="shared" si="1"/>
        <v>2025-08</v>
      </c>
      <c r="C405" s="2" t="s">
        <v>223</v>
      </c>
      <c r="D405" s="6">
        <v>4.2</v>
      </c>
      <c r="E405" s="4" t="s">
        <v>42</v>
      </c>
      <c r="F405" s="7" t="str">
        <f t="array" ref="F405">IFERROR(
  INDEX(lookup_table!B:B,
        MATCH(TRUE,
              ISNUMBER(SEARCH(lookup_table!A:A,C405)),
        0)
  ),
"Uncategorized")
</f>
        <v>Shopping</v>
      </c>
      <c r="G405" s="1" t="s">
        <v>13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9">
        <v>45887.0</v>
      </c>
      <c r="B406" s="4" t="str">
        <f t="shared" si="1"/>
        <v>2025-08</v>
      </c>
      <c r="C406" s="2" t="s">
        <v>224</v>
      </c>
      <c r="D406" s="6">
        <v>18.98</v>
      </c>
      <c r="E406" s="4" t="s">
        <v>28</v>
      </c>
      <c r="F406" s="7" t="str">
        <f t="array" ref="F406">IFERROR(
  INDEX(lookup_table!B:B,
        MATCH(TRUE,
              ISNUMBER(SEARCH(lookup_table!A:A,C406)),
        0)
  ),
"Uncategorized")
</f>
        <v>Travel</v>
      </c>
      <c r="G406" s="1" t="s">
        <v>10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9">
        <v>45888.0</v>
      </c>
      <c r="B407" s="4" t="str">
        <f t="shared" si="1"/>
        <v>2025-08</v>
      </c>
      <c r="C407" s="2" t="s">
        <v>48</v>
      </c>
      <c r="D407" s="6">
        <v>67.22</v>
      </c>
      <c r="E407" s="4" t="s">
        <v>23</v>
      </c>
      <c r="F407" s="7" t="str">
        <f t="array" ref="F407">IFERROR(
  INDEX(lookup_table!B:B,
        MATCH(TRUE,
              ISNUMBER(SEARCH(lookup_table!A:A,C407)),
        0)
  ),
"Uncategorized")
</f>
        <v>Groceries</v>
      </c>
      <c r="G407" s="1" t="s">
        <v>10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9">
        <v>45888.0</v>
      </c>
      <c r="B408" s="4" t="str">
        <f t="shared" si="1"/>
        <v>2025-08</v>
      </c>
      <c r="C408" s="2" t="s">
        <v>153</v>
      </c>
      <c r="D408" s="6">
        <v>61.3</v>
      </c>
      <c r="E408" s="4" t="s">
        <v>25</v>
      </c>
      <c r="F408" s="7" t="str">
        <f t="array" ref="F408">IFERROR(
  INDEX(lookup_table!B:B,
        MATCH(TRUE,
              ISNUMBER(SEARCH(lookup_table!A:A,C408)),
        0)
  ),
"Uncategorized")
</f>
        <v>Groceries</v>
      </c>
      <c r="G408" s="1" t="s">
        <v>21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9">
        <v>45888.0</v>
      </c>
      <c r="B409" s="4" t="str">
        <f t="shared" si="1"/>
        <v>2025-08</v>
      </c>
      <c r="C409" s="2" t="s">
        <v>27</v>
      </c>
      <c r="D409" s="6">
        <v>15.98</v>
      </c>
      <c r="E409" s="4" t="s">
        <v>28</v>
      </c>
      <c r="F409" s="7" t="str">
        <f t="array" ref="F409">IFERROR(
  INDEX(lookup_table!B:B,
        MATCH(TRUE,
              ISNUMBER(SEARCH(lookup_table!A:A,C409)),
        0)
  ),
"Uncategorized")
</f>
        <v>Shopping</v>
      </c>
      <c r="G409" s="1" t="s">
        <v>10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9">
        <v>45889.0</v>
      </c>
      <c r="B410" s="4" t="str">
        <f t="shared" si="1"/>
        <v>2025-08</v>
      </c>
      <c r="C410" s="10" t="s">
        <v>120</v>
      </c>
      <c r="D410" s="6">
        <v>55.22</v>
      </c>
      <c r="E410" s="4" t="s">
        <v>28</v>
      </c>
      <c r="F410" s="7" t="str">
        <f t="array" ref="F410">IFERROR(
  INDEX(lookup_table!B:B,
        MATCH(TRUE,
              ISNUMBER(SEARCH(lookup_table!A:A,C410)),
        0)
  ),
"Uncategorized")
</f>
        <v>Shopping</v>
      </c>
      <c r="G410" s="1" t="s">
        <v>10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9">
        <v>45889.0</v>
      </c>
      <c r="B411" s="4" t="str">
        <f t="shared" si="1"/>
        <v>2025-08</v>
      </c>
      <c r="C411" s="2" t="s">
        <v>68</v>
      </c>
      <c r="D411" s="6">
        <v>11.96</v>
      </c>
      <c r="E411" s="4" t="s">
        <v>23</v>
      </c>
      <c r="F411" s="7" t="str">
        <f t="array" ref="F411">IFERROR(
  INDEX(lookup_table!B:B,
        MATCH(TRUE,
              ISNUMBER(SEARCH(lookup_table!A:A,C411)),
        0)
  ),
"Uncategorized")
</f>
        <v>Shopping</v>
      </c>
      <c r="G411" s="1" t="s">
        <v>10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8">
        <v>45889.0</v>
      </c>
      <c r="B412" s="4" t="str">
        <f t="shared" si="1"/>
        <v>2025-08</v>
      </c>
      <c r="C412" s="2" t="s">
        <v>11</v>
      </c>
      <c r="D412" s="6">
        <v>2.79</v>
      </c>
      <c r="E412" s="4" t="s">
        <v>12</v>
      </c>
      <c r="F412" s="7" t="str">
        <f t="array" ref="F412">IFERROR(
  INDEX(lookup_table!B:B,
        MATCH(TRUE,
              ISNUMBER(SEARCH(lookup_table!A:A,C412)),
        0)
  ),
"Uncategorized")
</f>
        <v>Transportation</v>
      </c>
      <c r="G412" s="1" t="s">
        <v>13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9">
        <v>45889.0</v>
      </c>
      <c r="B413" s="4" t="str">
        <f t="shared" si="1"/>
        <v>2025-08</v>
      </c>
      <c r="C413" s="2" t="s">
        <v>140</v>
      </c>
      <c r="D413" s="6">
        <v>55.56</v>
      </c>
      <c r="E413" s="4" t="s">
        <v>9</v>
      </c>
      <c r="F413" s="7" t="str">
        <f t="array" ref="F413">IFERROR(
  INDEX(lookup_table!B:B,
        MATCH(TRUE,
              ISNUMBER(SEARCH(lookup_table!A:A,C413)),
        0)
  ),
"Uncategorized")
</f>
        <v>Transportation</v>
      </c>
      <c r="G413" s="1" t="s">
        <v>21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9">
        <v>45889.0</v>
      </c>
      <c r="B414" s="4" t="str">
        <f t="shared" si="1"/>
        <v>2025-08</v>
      </c>
      <c r="C414" s="2" t="s">
        <v>140</v>
      </c>
      <c r="D414" s="6">
        <v>10.61</v>
      </c>
      <c r="E414" s="4" t="s">
        <v>9</v>
      </c>
      <c r="F414" s="7" t="str">
        <f t="array" ref="F414">IFERROR(
  INDEX(lookup_table!B:B,
        MATCH(TRUE,
              ISNUMBER(SEARCH(lookup_table!A:A,C414)),
        0)
  ),
"Uncategorized")
</f>
        <v>Transportation</v>
      </c>
      <c r="G414" s="1" t="s">
        <v>21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9">
        <v>45890.0</v>
      </c>
      <c r="B415" s="4" t="str">
        <f t="shared" si="1"/>
        <v>2025-08</v>
      </c>
      <c r="C415" s="2" t="s">
        <v>225</v>
      </c>
      <c r="D415" s="6">
        <v>31.67</v>
      </c>
      <c r="E415" s="4" t="s">
        <v>23</v>
      </c>
      <c r="F415" s="7" t="str">
        <f t="array" ref="F415">IFERROR(
  INDEX(lookup_table!B:B,
        MATCH(TRUE,
              ISNUMBER(SEARCH(lookup_table!A:A,C415)),
        0)
  ),
"Uncategorized")
</f>
        <v>Dining Out</v>
      </c>
      <c r="G415" s="1" t="s">
        <v>10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9">
        <v>45890.0</v>
      </c>
      <c r="B416" s="4" t="str">
        <f t="shared" si="1"/>
        <v>2025-08</v>
      </c>
      <c r="C416" s="2" t="s">
        <v>226</v>
      </c>
      <c r="D416" s="6">
        <v>33.45</v>
      </c>
      <c r="E416" s="4" t="s">
        <v>9</v>
      </c>
      <c r="F416" s="7" t="str">
        <f t="array" ref="F416">IFERROR(
  INDEX(lookup_table!B:B,
        MATCH(TRUE,
              ISNUMBER(SEARCH(lookup_table!A:A,C416)),
        0)
  ),
"Uncategorized")
</f>
        <v>Entertainment</v>
      </c>
      <c r="G416" s="1" t="s">
        <v>10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9">
        <v>45890.0</v>
      </c>
      <c r="B417" s="4" t="str">
        <f t="shared" si="1"/>
        <v>2025-08</v>
      </c>
      <c r="C417" s="2" t="s">
        <v>81</v>
      </c>
      <c r="D417" s="6">
        <v>2.99</v>
      </c>
      <c r="E417" s="4" t="s">
        <v>26</v>
      </c>
      <c r="F417" s="7" t="str">
        <f t="array" ref="F417">IFERROR(
  INDEX(lookup_table!B:B,
        MATCH(TRUE,
              ISNUMBER(SEARCH(lookup_table!A:A,C417)),
        0)
  ),
"Uncategorized")
</f>
        <v>Shopping</v>
      </c>
      <c r="G417" s="1" t="s">
        <v>10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9">
        <v>45890.0</v>
      </c>
      <c r="B418" s="4" t="str">
        <f t="shared" si="1"/>
        <v>2025-08</v>
      </c>
      <c r="C418" s="2" t="s">
        <v>81</v>
      </c>
      <c r="D418" s="6">
        <v>45.85</v>
      </c>
      <c r="E418" s="4" t="s">
        <v>167</v>
      </c>
      <c r="F418" s="7" t="str">
        <f t="array" ref="F418">IFERROR(
  INDEX(lookup_table!B:B,
        MATCH(TRUE,
              ISNUMBER(SEARCH(lookup_table!A:A,C418)),
        0)
  ),
"Uncategorized")
</f>
        <v>Shopping</v>
      </c>
      <c r="G418" s="1" t="s">
        <v>21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9">
        <v>45891.0</v>
      </c>
      <c r="B419" s="4" t="str">
        <f t="shared" si="1"/>
        <v>2025-08</v>
      </c>
      <c r="C419" s="2" t="s">
        <v>227</v>
      </c>
      <c r="D419" s="6">
        <v>36.19</v>
      </c>
      <c r="E419" s="4" t="s">
        <v>9</v>
      </c>
      <c r="F419" s="7" t="str">
        <f t="array" ref="F419">IFERROR(
  INDEX(lookup_table!B:B,
        MATCH(TRUE,
              ISNUMBER(SEARCH(lookup_table!A:A,C419)),
        0)
  ),
"Uncategorized")
</f>
        <v>Dining Out</v>
      </c>
      <c r="G419" s="1" t="s">
        <v>10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9">
        <v>45891.0</v>
      </c>
      <c r="B420" s="4" t="str">
        <f t="shared" si="1"/>
        <v>2025-08</v>
      </c>
      <c r="C420" s="2" t="s">
        <v>122</v>
      </c>
      <c r="D420" s="6">
        <v>14.78</v>
      </c>
      <c r="E420" s="4" t="s">
        <v>23</v>
      </c>
      <c r="F420" s="7" t="str">
        <f t="array" ref="F420">IFERROR(
  INDEX(lookup_table!B:B,
        MATCH(TRUE,
              ISNUMBER(SEARCH(lookup_table!A:A,C420)),
        0)
  ),
"Uncategorized")
</f>
        <v>Groceries</v>
      </c>
      <c r="G420" s="1" t="s">
        <v>10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9">
        <v>45891.0</v>
      </c>
      <c r="B421" s="4" t="str">
        <f t="shared" si="1"/>
        <v>2025-08</v>
      </c>
      <c r="C421" s="2" t="s">
        <v>122</v>
      </c>
      <c r="D421" s="6">
        <v>32.65</v>
      </c>
      <c r="E421" s="4" t="s">
        <v>167</v>
      </c>
      <c r="F421" s="7" t="str">
        <f t="array" ref="F421">IFERROR(
  INDEX(lookup_table!B:B,
        MATCH(TRUE,
              ISNUMBER(SEARCH(lookup_table!A:A,C421)),
        0)
  ),
"Uncategorized")
</f>
        <v>Groceries</v>
      </c>
      <c r="G421" s="1" t="s">
        <v>21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9">
        <v>45891.0</v>
      </c>
      <c r="B422" s="4" t="str">
        <f t="shared" si="1"/>
        <v>2025-08</v>
      </c>
      <c r="C422" s="10" t="s">
        <v>120</v>
      </c>
      <c r="D422" s="6">
        <v>56.1</v>
      </c>
      <c r="E422" s="4" t="s">
        <v>28</v>
      </c>
      <c r="F422" s="7" t="str">
        <f t="array" ref="F422">IFERROR(
  INDEX(lookup_table!B:B,
        MATCH(TRUE,
              ISNUMBER(SEARCH(lookup_table!A:A,C422)),
        0)
  ),
"Uncategorized")
</f>
        <v>Shopping</v>
      </c>
      <c r="G422" s="1" t="s">
        <v>10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8">
        <v>45891.0</v>
      </c>
      <c r="B423" s="4" t="str">
        <f t="shared" si="1"/>
        <v>2025-08</v>
      </c>
      <c r="C423" s="2" t="s">
        <v>109</v>
      </c>
      <c r="D423" s="6">
        <v>3.99</v>
      </c>
      <c r="E423" s="4" t="s">
        <v>129</v>
      </c>
      <c r="F423" s="7" t="str">
        <f t="array" ref="F423">IFERROR(
  INDEX(lookup_table!B:B,
        MATCH(TRUE,
              ISNUMBER(SEARCH(lookup_table!A:A,C423)),
        0)
  ),
"Uncategorized")
</f>
        <v>Transportation</v>
      </c>
      <c r="G423" s="1" t="s">
        <v>13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8">
        <v>45891.0</v>
      </c>
      <c r="B424" s="4" t="str">
        <f t="shared" si="1"/>
        <v>2025-08</v>
      </c>
      <c r="C424" s="2" t="s">
        <v>109</v>
      </c>
      <c r="D424" s="6">
        <v>0.5</v>
      </c>
      <c r="E424" s="4" t="s">
        <v>129</v>
      </c>
      <c r="F424" s="7" t="str">
        <f t="array" ref="F424">IFERROR(
  INDEX(lookup_table!B:B,
        MATCH(TRUE,
              ISNUMBER(SEARCH(lookup_table!A:A,C424)),
        0)
  ),
"Uncategorized")
</f>
        <v>Transportation</v>
      </c>
      <c r="G424" s="1" t="s">
        <v>13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9">
        <v>45891.0</v>
      </c>
      <c r="B425" s="4" t="str">
        <f t="shared" si="1"/>
        <v>2025-08</v>
      </c>
      <c r="C425" s="2" t="s">
        <v>109</v>
      </c>
      <c r="D425" s="6">
        <v>33.94</v>
      </c>
      <c r="E425" s="4" t="s">
        <v>167</v>
      </c>
      <c r="F425" s="7" t="str">
        <f t="array" ref="F425">IFERROR(
  INDEX(lookup_table!B:B,
        MATCH(TRUE,
              ISNUMBER(SEARCH(lookup_table!A:A,C425)),
        0)
  ),
"Uncategorized")
</f>
        <v>Transportation</v>
      </c>
      <c r="G425" s="1" t="s">
        <v>21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9">
        <v>45892.0</v>
      </c>
      <c r="B426" s="4" t="str">
        <f t="shared" si="1"/>
        <v>2025-08</v>
      </c>
      <c r="C426" s="2" t="s">
        <v>228</v>
      </c>
      <c r="D426" s="6">
        <v>39.72</v>
      </c>
      <c r="E426" s="4" t="s">
        <v>9</v>
      </c>
      <c r="F426" s="7" t="str">
        <f t="array" ref="F426">IFERROR(
  INDEX(lookup_table!B:B,
        MATCH(TRUE,
              ISNUMBER(SEARCH(lookup_table!A:A,C426)),
        0)
  ),
"Uncategorized")
</f>
        <v>Dining Out</v>
      </c>
      <c r="G426" s="1" t="s">
        <v>10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9">
        <v>45892.0</v>
      </c>
      <c r="B427" s="4" t="str">
        <f t="shared" si="1"/>
        <v>2025-08</v>
      </c>
      <c r="C427" s="2" t="s">
        <v>229</v>
      </c>
      <c r="D427" s="6">
        <v>38.58</v>
      </c>
      <c r="E427" s="4" t="s">
        <v>167</v>
      </c>
      <c r="F427" s="7" t="str">
        <f t="array" ref="F427">IFERROR(
  INDEX(lookup_table!B:B,
        MATCH(TRUE,
              ISNUMBER(SEARCH(lookup_table!A:A,C427)),
        0)
  ),
"Uncategorized")
</f>
        <v>Transportation</v>
      </c>
      <c r="G427" s="1" t="s">
        <v>21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9">
        <v>45892.0</v>
      </c>
      <c r="B428" s="4" t="str">
        <f t="shared" si="1"/>
        <v>2025-08</v>
      </c>
      <c r="C428" s="2" t="s">
        <v>229</v>
      </c>
      <c r="D428" s="6">
        <v>36.47</v>
      </c>
      <c r="E428" s="4" t="s">
        <v>167</v>
      </c>
      <c r="F428" s="7" t="str">
        <f t="array" ref="F428">IFERROR(
  INDEX(lookup_table!B:B,
        MATCH(TRUE,
              ISNUMBER(SEARCH(lookup_table!A:A,C428)),
        0)
  ),
"Uncategorized")
</f>
        <v>Transportation</v>
      </c>
      <c r="G428" s="1" t="s">
        <v>21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9">
        <v>45892.0</v>
      </c>
      <c r="B429" s="4" t="str">
        <f t="shared" si="1"/>
        <v>2025-08</v>
      </c>
      <c r="C429" s="2" t="s">
        <v>204</v>
      </c>
      <c r="D429" s="6">
        <v>2.29</v>
      </c>
      <c r="E429" s="4" t="s">
        <v>26</v>
      </c>
      <c r="F429" s="7" t="str">
        <f t="array" ref="F429">IFERROR(
  INDEX(lookup_table!B:B,
        MATCH(TRUE,
              ISNUMBER(SEARCH(lookup_table!A:A,C429)),
        0)
  ),
"Uncategorized")
</f>
        <v>Transportation</v>
      </c>
      <c r="G429" s="1" t="s">
        <v>10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9">
        <v>45892.0</v>
      </c>
      <c r="B430" s="4" t="str">
        <f t="shared" si="1"/>
        <v>2025-08</v>
      </c>
      <c r="C430" s="2" t="s">
        <v>230</v>
      </c>
      <c r="D430" s="6">
        <v>2.35</v>
      </c>
      <c r="E430" s="4" t="s">
        <v>28</v>
      </c>
      <c r="F430" s="7" t="str">
        <f t="array" ref="F430">IFERROR(
  INDEX(lookup_table!B:B,
        MATCH(TRUE,
              ISNUMBER(SEARCH(lookup_table!A:A,C430)),
        0)
  ),
"Uncategorized")
</f>
        <v>Travel</v>
      </c>
      <c r="G430" s="1" t="s">
        <v>10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8">
        <v>45892.0</v>
      </c>
      <c r="B431" s="4" t="str">
        <f t="shared" si="1"/>
        <v>2025-08</v>
      </c>
      <c r="C431" s="2" t="s">
        <v>231</v>
      </c>
      <c r="D431" s="6">
        <v>10.59</v>
      </c>
      <c r="E431" s="4" t="s">
        <v>87</v>
      </c>
      <c r="F431" s="7" t="str">
        <f t="array" ref="F431">IFERROR(
  INDEX(lookup_table!B:B,
        MATCH(TRUE,
              ISNUMBER(SEARCH(lookup_table!A:A,C431)),
        0)
  ),
"Uncategorized")
</f>
        <v>Travel</v>
      </c>
      <c r="G431" s="1" t="s">
        <v>13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9">
        <v>45893.0</v>
      </c>
      <c r="B432" s="4" t="str">
        <f t="shared" si="1"/>
        <v>2025-08</v>
      </c>
      <c r="C432" s="2" t="s">
        <v>153</v>
      </c>
      <c r="D432" s="6">
        <v>7.76</v>
      </c>
      <c r="E432" s="4" t="s">
        <v>9</v>
      </c>
      <c r="F432" s="7" t="str">
        <f t="array" ref="F432">IFERROR(
  INDEX(lookup_table!B:B,
        MATCH(TRUE,
              ISNUMBER(SEARCH(lookup_table!A:A,C432)),
        0)
  ),
"Uncategorized")
</f>
        <v>Groceries</v>
      </c>
      <c r="G432" s="1" t="s">
        <v>21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9">
        <v>45893.0</v>
      </c>
      <c r="B433" s="4" t="str">
        <f t="shared" si="1"/>
        <v>2025-08</v>
      </c>
      <c r="C433" s="2" t="s">
        <v>232</v>
      </c>
      <c r="D433" s="6">
        <v>37.1</v>
      </c>
      <c r="E433" s="4" t="s">
        <v>15</v>
      </c>
      <c r="F433" s="7" t="str">
        <f t="array" ref="F433">IFERROR(
  INDEX(lookup_table!B:B,
        MATCH(TRUE,
              ISNUMBER(SEARCH(lookup_table!A:A,C433)),
        0)
  ),
"Uncategorized")
</f>
        <v>Shopping</v>
      </c>
      <c r="G433" s="1" t="s">
        <v>10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9">
        <v>45893.0</v>
      </c>
      <c r="B434" s="4" t="str">
        <f t="shared" si="1"/>
        <v>2025-08</v>
      </c>
      <c r="C434" s="2" t="s">
        <v>229</v>
      </c>
      <c r="D434" s="6">
        <v>14.39</v>
      </c>
      <c r="E434" s="4" t="s">
        <v>167</v>
      </c>
      <c r="F434" s="7" t="str">
        <f t="array" ref="F434">IFERROR(
  INDEX(lookup_table!B:B,
        MATCH(TRUE,
              ISNUMBER(SEARCH(lookup_table!A:A,C434)),
        0)
  ),
"Uncategorized")
</f>
        <v>Transportation</v>
      </c>
      <c r="G434" s="1" t="s">
        <v>21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9">
        <v>45894.0</v>
      </c>
      <c r="B435" s="4" t="str">
        <f t="shared" si="1"/>
        <v>2025-08</v>
      </c>
      <c r="C435" s="2" t="s">
        <v>62</v>
      </c>
      <c r="D435" s="6">
        <v>9.6</v>
      </c>
      <c r="E435" s="4" t="s">
        <v>167</v>
      </c>
      <c r="F435" s="7" t="str">
        <f t="array" ref="F435">IFERROR(
  INDEX(lookup_table!B:B,
        MATCH(TRUE,
              ISNUMBER(SEARCH(lookup_table!A:A,C435)),
        0)
  ),
"Uncategorized")
</f>
        <v>Shopping</v>
      </c>
      <c r="G435" s="1" t="s">
        <v>21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9">
        <v>45894.0</v>
      </c>
      <c r="B436" s="4" t="str">
        <f t="shared" si="1"/>
        <v>2025-08</v>
      </c>
      <c r="C436" s="2" t="s">
        <v>43</v>
      </c>
      <c r="D436" s="6">
        <v>4.74</v>
      </c>
      <c r="E436" s="4" t="s">
        <v>79</v>
      </c>
      <c r="F436" s="7" t="str">
        <f t="array" ref="F436">IFERROR(
  INDEX(lookup_table!B:B,
        MATCH(TRUE,
              ISNUMBER(SEARCH(lookup_table!A:A,C436)),
        0)
  ),
"Uncategorized")
</f>
        <v>Subscriptions</v>
      </c>
      <c r="G436" s="1" t="s">
        <v>10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9">
        <v>45894.0</v>
      </c>
      <c r="B437" s="4" t="str">
        <f t="shared" si="1"/>
        <v>2025-08</v>
      </c>
      <c r="C437" s="2">
        <v>76.0</v>
      </c>
      <c r="D437" s="6">
        <v>15.12</v>
      </c>
      <c r="E437" s="4" t="s">
        <v>26</v>
      </c>
      <c r="F437" s="7" t="str">
        <f t="array" ref="F437">IFERROR(
  INDEX(lookup_table!B:B,
        MATCH(TRUE,
              ISNUMBER(SEARCH(lookup_table!A:A,C437)),
        0)
  ),
"Uncategorized")
</f>
        <v>Transportation</v>
      </c>
      <c r="G437" s="1" t="s">
        <v>10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8">
        <v>45894.0</v>
      </c>
      <c r="B438" s="4" t="str">
        <f t="shared" si="1"/>
        <v>2025-08</v>
      </c>
      <c r="C438" s="2" t="s">
        <v>233</v>
      </c>
      <c r="D438" s="6">
        <v>4.99</v>
      </c>
      <c r="E438" s="4" t="s">
        <v>87</v>
      </c>
      <c r="F438" s="7" t="str">
        <f t="array" ref="F438">IFERROR(
  INDEX(lookup_table!B:B,
        MATCH(TRUE,
              ISNUMBER(SEARCH(lookup_table!A:A,C438)),
        0)
  ),
"Uncategorized")
</f>
        <v>Transportation</v>
      </c>
      <c r="G438" s="1" t="s">
        <v>13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9">
        <v>45894.0</v>
      </c>
      <c r="B439" s="4" t="str">
        <f t="shared" si="1"/>
        <v>2025-08</v>
      </c>
      <c r="C439" s="2" t="s">
        <v>234</v>
      </c>
      <c r="D439" s="6">
        <v>11.88</v>
      </c>
      <c r="E439" s="4" t="s">
        <v>28</v>
      </c>
      <c r="F439" s="7" t="str">
        <f t="array" ref="F439">IFERROR(
  INDEX(lookup_table!B:B,
        MATCH(TRUE,
              ISNUMBER(SEARCH(lookup_table!A:A,C439)),
        0)
  ),
"Uncategorized")
</f>
        <v>Travel</v>
      </c>
      <c r="G439" s="1" t="s">
        <v>10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9">
        <v>45895.0</v>
      </c>
      <c r="B440" s="4" t="str">
        <f t="shared" si="1"/>
        <v>2025-08</v>
      </c>
      <c r="C440" s="2" t="s">
        <v>235</v>
      </c>
      <c r="D440" s="6">
        <v>23.2</v>
      </c>
      <c r="E440" s="4" t="s">
        <v>63</v>
      </c>
      <c r="F440" s="7" t="str">
        <f t="array" ref="F440">IFERROR(
  INDEX(lookup_table!B:B,
        MATCH(TRUE,
              ISNUMBER(SEARCH(lookup_table!A:A,C440)),
        0)
  ),
"Uncategorized")
</f>
        <v>Dining Out</v>
      </c>
      <c r="G440" s="1" t="s">
        <v>10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9">
        <v>45896.0</v>
      </c>
      <c r="B441" s="4" t="str">
        <f t="shared" si="1"/>
        <v>2025-08</v>
      </c>
      <c r="C441" s="2" t="s">
        <v>36</v>
      </c>
      <c r="D441" s="6">
        <v>59.86</v>
      </c>
      <c r="E441" s="4" t="s">
        <v>35</v>
      </c>
      <c r="F441" s="7" t="str">
        <f t="array" ref="F441">IFERROR(
  INDEX(lookup_table!B:B,
        MATCH(TRUE,
              ISNUMBER(SEARCH(lookup_table!A:A,C441)),
        0)
  ),
"Uncategorized")
</f>
        <v>Bills</v>
      </c>
      <c r="G441" s="1" t="s">
        <v>21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9">
        <v>45896.0</v>
      </c>
      <c r="B442" s="4" t="str">
        <f t="shared" si="1"/>
        <v>2025-08</v>
      </c>
      <c r="C442" s="2" t="s">
        <v>236</v>
      </c>
      <c r="D442" s="6">
        <v>11.91</v>
      </c>
      <c r="E442" s="4" t="s">
        <v>40</v>
      </c>
      <c r="F442" s="7" t="str">
        <f t="array" ref="F442">IFERROR(
  INDEX(lookup_table!B:B,
        MATCH(TRUE,
              ISNUMBER(SEARCH(lookup_table!A:A,C442)),
        0)
  ),
"Uncategorized")
</f>
        <v>Dining Out</v>
      </c>
      <c r="G442" s="1" t="s">
        <v>10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9">
        <v>45896.0</v>
      </c>
      <c r="B443" s="4" t="str">
        <f t="shared" si="1"/>
        <v>2025-08</v>
      </c>
      <c r="C443" s="2" t="s">
        <v>198</v>
      </c>
      <c r="D443" s="6">
        <v>5.0</v>
      </c>
      <c r="E443" s="4" t="s">
        <v>167</v>
      </c>
      <c r="F443" s="7" t="str">
        <f t="array" ref="F443">IFERROR(
  INDEX(lookup_table!B:B,
        MATCH(TRUE,
              ISNUMBER(SEARCH(lookup_table!A:A,C443)),
        0)
  ),
"Uncategorized")
</f>
        <v>Dining Out</v>
      </c>
      <c r="G443" s="1" t="s">
        <v>21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9">
        <v>45896.0</v>
      </c>
      <c r="B444" s="4" t="str">
        <f t="shared" si="1"/>
        <v>2025-08</v>
      </c>
      <c r="C444" s="2" t="s">
        <v>122</v>
      </c>
      <c r="D444" s="6">
        <v>36.12</v>
      </c>
      <c r="E444" s="4" t="s">
        <v>23</v>
      </c>
      <c r="F444" s="7" t="str">
        <f t="array" ref="F444">IFERROR(
  INDEX(lookup_table!B:B,
        MATCH(TRUE,
              ISNUMBER(SEARCH(lookup_table!A:A,C444)),
        0)
  ),
"Uncategorized")
</f>
        <v>Groceries</v>
      </c>
      <c r="G444" s="1" t="s">
        <v>10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9">
        <v>45896.0</v>
      </c>
      <c r="B445" s="4" t="str">
        <f t="shared" si="1"/>
        <v>2025-08</v>
      </c>
      <c r="C445" s="2" t="s">
        <v>122</v>
      </c>
      <c r="D445" s="6">
        <v>8.27</v>
      </c>
      <c r="E445" s="4" t="s">
        <v>23</v>
      </c>
      <c r="F445" s="7" t="str">
        <f t="array" ref="F445">IFERROR(
  INDEX(lookup_table!B:B,
        MATCH(TRUE,
              ISNUMBER(SEARCH(lookup_table!A:A,C445)),
        0)
  ),
"Uncategorized")
</f>
        <v>Groceries</v>
      </c>
      <c r="G445" s="1" t="s">
        <v>10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8">
        <v>45896.0</v>
      </c>
      <c r="B446" s="4" t="str">
        <f t="shared" si="1"/>
        <v>2025-08</v>
      </c>
      <c r="C446" s="2" t="s">
        <v>237</v>
      </c>
      <c r="D446" s="6">
        <v>6.5</v>
      </c>
      <c r="E446" s="4" t="s">
        <v>87</v>
      </c>
      <c r="F446" s="7" t="str">
        <f t="array" ref="F446">IFERROR(
  INDEX(lookup_table!B:B,
        MATCH(TRUE,
              ISNUMBER(SEARCH(lookup_table!A:A,C446)),
        0)
  ),
"Uncategorized")
</f>
        <v>Other</v>
      </c>
      <c r="G446" s="1" t="s">
        <v>13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9">
        <v>45896.0</v>
      </c>
      <c r="B447" s="4" t="str">
        <f t="shared" si="1"/>
        <v>2025-08</v>
      </c>
      <c r="C447" s="2" t="s">
        <v>238</v>
      </c>
      <c r="D447" s="6">
        <v>2.5</v>
      </c>
      <c r="E447" s="4" t="s">
        <v>28</v>
      </c>
      <c r="F447" s="7" t="str">
        <f t="array" ref="F447">IFERROR(
  INDEX(lookup_table!B:B,
        MATCH(TRUE,
              ISNUMBER(SEARCH(lookup_table!A:A,C447)),
        0)
  ),
"Uncategorized")
</f>
        <v>Subscriptions</v>
      </c>
      <c r="G447" s="1" t="s">
        <v>10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9">
        <v>45896.0</v>
      </c>
      <c r="B448" s="4" t="str">
        <f t="shared" si="1"/>
        <v>2025-08</v>
      </c>
      <c r="C448" s="2" t="s">
        <v>238</v>
      </c>
      <c r="D448" s="6">
        <v>2.0</v>
      </c>
      <c r="E448" s="4" t="s">
        <v>28</v>
      </c>
      <c r="F448" s="7" t="str">
        <f t="array" ref="F448">IFERROR(
  INDEX(lookup_table!B:B,
        MATCH(TRUE,
              ISNUMBER(SEARCH(lookup_table!A:A,C448)),
        0)
  ),
"Uncategorized")
</f>
        <v>Subscriptions</v>
      </c>
      <c r="G448" s="1" t="s">
        <v>10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9">
        <v>45896.0</v>
      </c>
      <c r="B449" s="4" t="str">
        <f t="shared" si="1"/>
        <v>2025-08</v>
      </c>
      <c r="C449" s="2" t="s">
        <v>203</v>
      </c>
      <c r="D449" s="6">
        <v>13.37</v>
      </c>
      <c r="E449" s="4" t="s">
        <v>26</v>
      </c>
      <c r="F449" s="7" t="str">
        <f t="array" ref="F449">IFERROR(
  INDEX(lookup_table!B:B,
        MATCH(TRUE,
              ISNUMBER(SEARCH(lookup_table!A:A,C449)),
        0)
  ),
"Uncategorized")
</f>
        <v>Transportation</v>
      </c>
      <c r="G449" s="1" t="s">
        <v>10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9">
        <v>45896.0</v>
      </c>
      <c r="B450" s="4" t="str">
        <f t="shared" si="1"/>
        <v>2025-08</v>
      </c>
      <c r="C450" s="2" t="s">
        <v>203</v>
      </c>
      <c r="D450" s="6">
        <v>60.01</v>
      </c>
      <c r="E450" s="4" t="s">
        <v>167</v>
      </c>
      <c r="F450" s="7" t="str">
        <f t="array" ref="F450">IFERROR(
  INDEX(lookup_table!B:B,
        MATCH(TRUE,
              ISNUMBER(SEARCH(lookup_table!A:A,C450)),
        0)
  ),
"Uncategorized")
</f>
        <v>Transportation</v>
      </c>
      <c r="G450" s="1" t="s">
        <v>21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8">
        <v>45897.0</v>
      </c>
      <c r="B451" s="4" t="str">
        <f t="shared" si="1"/>
        <v>2025-08</v>
      </c>
      <c r="C451" s="2" t="s">
        <v>239</v>
      </c>
      <c r="D451" s="6">
        <v>26.33</v>
      </c>
      <c r="E451" s="4" t="s">
        <v>87</v>
      </c>
      <c r="F451" s="7" t="str">
        <f t="array" ref="F451">IFERROR(
  INDEX(lookup_table!B:B,
        MATCH(TRUE,
              ISNUMBER(SEARCH(lookup_table!A:A,C451)),
        0)
  ),
"Uncategorized")
</f>
        <v>Dining Out</v>
      </c>
      <c r="G451" s="1" t="s">
        <v>13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8">
        <v>45897.0</v>
      </c>
      <c r="B452" s="4" t="str">
        <f t="shared" si="1"/>
        <v>2025-08</v>
      </c>
      <c r="C452" s="2" t="s">
        <v>240</v>
      </c>
      <c r="D452" s="6">
        <v>2.39</v>
      </c>
      <c r="E452" s="4" t="s">
        <v>129</v>
      </c>
      <c r="F452" s="7" t="str">
        <f t="array" ref="F452">IFERROR(
  INDEX(lookup_table!B:B,
        MATCH(TRUE,
              ISNUMBER(SEARCH(lookup_table!A:A,C452)),
        0)
  ),
"Uncategorized")
</f>
        <v>Transportation</v>
      </c>
      <c r="G452" s="1" t="s">
        <v>13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8">
        <v>45898.0</v>
      </c>
      <c r="B453" s="4" t="str">
        <f t="shared" si="1"/>
        <v>2025-08</v>
      </c>
      <c r="C453" s="2" t="s">
        <v>241</v>
      </c>
      <c r="D453" s="6">
        <v>2.88</v>
      </c>
      <c r="E453" s="4" t="s">
        <v>87</v>
      </c>
      <c r="F453" s="7" t="str">
        <f t="array" ref="F453">IFERROR(
  INDEX(lookup_table!B:B,
        MATCH(TRUE,
              ISNUMBER(SEARCH(lookup_table!A:A,C453)),
        0)
  ),
"Uncategorized")
</f>
        <v>Other</v>
      </c>
      <c r="G453" s="1" t="s">
        <v>13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9">
        <v>45898.0</v>
      </c>
      <c r="B454" s="4" t="str">
        <f t="shared" si="1"/>
        <v>2025-08</v>
      </c>
      <c r="C454" s="2" t="s">
        <v>242</v>
      </c>
      <c r="D454" s="6">
        <v>21.09</v>
      </c>
      <c r="E454" s="4" t="s">
        <v>167</v>
      </c>
      <c r="F454" s="7" t="str">
        <f t="array" ref="F454">IFERROR(
  INDEX(lookup_table!B:B,
        MATCH(TRUE,
              ISNUMBER(SEARCH(lookup_table!A:A,C454)),
        0)
  ),
"Uncategorized")
</f>
        <v>Transportation</v>
      </c>
      <c r="G454" s="1" t="s">
        <v>21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9">
        <v>45899.0</v>
      </c>
      <c r="B455" s="4" t="str">
        <f t="shared" si="1"/>
        <v>2025-08</v>
      </c>
      <c r="C455" s="2" t="s">
        <v>153</v>
      </c>
      <c r="D455" s="6">
        <v>17.4</v>
      </c>
      <c r="E455" s="4" t="s">
        <v>9</v>
      </c>
      <c r="F455" s="7" t="str">
        <f t="array" ref="F455">IFERROR(
  INDEX(lookup_table!B:B,
        MATCH(TRUE,
              ISNUMBER(SEARCH(lookup_table!A:A,C455)),
        0)
  ),
"Uncategorized")
</f>
        <v>Groceries</v>
      </c>
      <c r="G455" s="1" t="s">
        <v>21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9">
        <v>45899.0</v>
      </c>
      <c r="B456" s="4" t="str">
        <f t="shared" si="1"/>
        <v>2025-08</v>
      </c>
      <c r="C456" s="2" t="s">
        <v>203</v>
      </c>
      <c r="D456" s="6">
        <v>67.89</v>
      </c>
      <c r="E456" s="4" t="s">
        <v>167</v>
      </c>
      <c r="F456" s="7" t="str">
        <f t="array" ref="F456">IFERROR(
  INDEX(lookup_table!B:B,
        MATCH(TRUE,
              ISNUMBER(SEARCH(lookup_table!A:A,C456)),
        0)
  ),
"Uncategorized")
</f>
        <v>Transportation</v>
      </c>
      <c r="G456" s="1" t="s">
        <v>21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9">
        <v>45899.0</v>
      </c>
      <c r="B457" s="4" t="str">
        <f t="shared" si="1"/>
        <v>2025-08</v>
      </c>
      <c r="C457" s="2" t="s">
        <v>55</v>
      </c>
      <c r="D457" s="6">
        <v>184.83</v>
      </c>
      <c r="E457" s="4" t="s">
        <v>243</v>
      </c>
      <c r="F457" s="7" t="str">
        <f t="array" ref="F457">IFERROR(
  INDEX(lookup_table!B:B,
        MATCH(TRUE,
              ISNUMBER(SEARCH(lookup_table!A:A,C457)),
        0)
  ),
"Uncategorized")
</f>
        <v>Transportation</v>
      </c>
      <c r="G457" s="1" t="s">
        <v>21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9">
        <v>45899.0</v>
      </c>
      <c r="B458" s="4" t="str">
        <f t="shared" si="1"/>
        <v>2025-08</v>
      </c>
      <c r="C458" s="2" t="s">
        <v>244</v>
      </c>
      <c r="D458" s="6">
        <v>5.48</v>
      </c>
      <c r="E458" s="4" t="s">
        <v>26</v>
      </c>
      <c r="F458" s="7" t="str">
        <f t="array" ref="F458">IFERROR(
  INDEX(lookup_table!B:B,
        MATCH(TRUE,
              ISNUMBER(SEARCH(lookup_table!A:A,C458)),
        0)
  ),
"Uncategorized")
</f>
        <v>Transportation</v>
      </c>
      <c r="G458" s="1" t="s">
        <v>10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8">
        <v>45899.0</v>
      </c>
      <c r="B459" s="4" t="str">
        <f t="shared" si="1"/>
        <v>2025-08</v>
      </c>
      <c r="C459" s="2" t="s">
        <v>245</v>
      </c>
      <c r="D459" s="6">
        <v>12.5</v>
      </c>
      <c r="E459" s="4" t="s">
        <v>87</v>
      </c>
      <c r="F459" s="7" t="str">
        <f t="array" ref="F459">IFERROR(
  INDEX(lookup_table!B:B,
        MATCH(TRUE,
              ISNUMBER(SEARCH(lookup_table!A:A,C459)),
        0)
  ),
"Uncategorized")
</f>
        <v>Travel</v>
      </c>
      <c r="G459" s="1" t="s">
        <v>13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9">
        <v>45901.0</v>
      </c>
      <c r="B460" s="4" t="str">
        <f t="shared" si="1"/>
        <v>2025-09</v>
      </c>
      <c r="C460" s="2" t="s">
        <v>38</v>
      </c>
      <c r="D460" s="6">
        <v>5.24</v>
      </c>
      <c r="E460" s="4" t="s">
        <v>23</v>
      </c>
      <c r="F460" s="7" t="str">
        <f t="array" ref="F460">IFERROR(
  INDEX(lookup_table!B:B,
        MATCH(TRUE,
              ISNUMBER(SEARCH(lookup_table!A:A,C460)),
        0)
  ),
"Uncategorized")
</f>
        <v>Dining Out</v>
      </c>
      <c r="G460" s="1" t="s">
        <v>10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9">
        <v>45901.0</v>
      </c>
      <c r="B461" s="4" t="str">
        <f t="shared" si="1"/>
        <v>2025-09</v>
      </c>
      <c r="C461" s="2" t="s">
        <v>246</v>
      </c>
      <c r="D461" s="6">
        <v>1.39</v>
      </c>
      <c r="E461" s="4" t="s">
        <v>9</v>
      </c>
      <c r="F461" s="7" t="str">
        <f t="array" ref="F461">IFERROR(
  INDEX(lookup_table!B:B,
        MATCH(TRUE,
              ISNUMBER(SEARCH(lookup_table!A:A,C461)),
        0)
  ),
"Uncategorized")
</f>
        <v>Groceries</v>
      </c>
      <c r="G461" s="1" t="s">
        <v>10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9">
        <v>45901.0</v>
      </c>
      <c r="B462" s="4" t="str">
        <f t="shared" si="1"/>
        <v>2025-09</v>
      </c>
      <c r="C462" s="2" t="s">
        <v>247</v>
      </c>
      <c r="D462" s="6">
        <v>5.44</v>
      </c>
      <c r="E462" s="4" t="s">
        <v>26</v>
      </c>
      <c r="F462" s="7" t="str">
        <f t="array" ref="F462">IFERROR(
  INDEX(lookup_table!B:B,
        MATCH(TRUE,
              ISNUMBER(SEARCH(lookup_table!A:A,C462)),
        0)
  ),
"Uncategorized")
</f>
        <v>Transportation</v>
      </c>
      <c r="G462" s="1" t="s">
        <v>10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9">
        <v>45902.0</v>
      </c>
      <c r="B463" s="4" t="str">
        <f t="shared" si="1"/>
        <v>2025-09</v>
      </c>
      <c r="C463" s="2" t="s">
        <v>248</v>
      </c>
      <c r="D463" s="6">
        <v>7.98</v>
      </c>
      <c r="E463" s="4" t="s">
        <v>9</v>
      </c>
      <c r="F463" s="7" t="str">
        <f t="array" ref="F463">IFERROR(
  INDEX(lookup_table!B:B,
        MATCH(TRUE,
              ISNUMBER(SEARCH(lookup_table!A:A,C463)),
        0)
  ),
"Uncategorized")
</f>
        <v>Groceries</v>
      </c>
      <c r="G463" s="1" t="s">
        <v>10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9">
        <v>45902.0</v>
      </c>
      <c r="B464" s="4" t="str">
        <f t="shared" si="1"/>
        <v>2025-09</v>
      </c>
      <c r="C464" s="2" t="s">
        <v>246</v>
      </c>
      <c r="D464" s="6">
        <v>6.85</v>
      </c>
      <c r="E464" s="4" t="s">
        <v>9</v>
      </c>
      <c r="F464" s="7" t="str">
        <f t="array" ref="F464">IFERROR(
  INDEX(lookup_table!B:B,
        MATCH(TRUE,
              ISNUMBER(SEARCH(lookup_table!A:A,C464)),
        0)
  ),
"Uncategorized")
</f>
        <v>Groceries</v>
      </c>
      <c r="G464" s="1" t="s">
        <v>10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9">
        <v>45902.0</v>
      </c>
      <c r="B465" s="4" t="str">
        <f t="shared" si="1"/>
        <v>2025-09</v>
      </c>
      <c r="C465" s="2" t="s">
        <v>122</v>
      </c>
      <c r="D465" s="6">
        <v>22.77</v>
      </c>
      <c r="E465" s="4" t="s">
        <v>23</v>
      </c>
      <c r="F465" s="7" t="str">
        <f t="array" ref="F465">IFERROR(
  INDEX(lookup_table!B:B,
        MATCH(TRUE,
              ISNUMBER(SEARCH(lookup_table!A:A,C465)),
        0)
  ),
"Uncategorized")
</f>
        <v>Groceries</v>
      </c>
      <c r="G465" s="1" t="s">
        <v>10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9">
        <v>45902.0</v>
      </c>
      <c r="B466" s="4" t="str">
        <f t="shared" si="1"/>
        <v>2025-09</v>
      </c>
      <c r="C466" s="2" t="s">
        <v>112</v>
      </c>
      <c r="D466" s="6">
        <v>8.15</v>
      </c>
      <c r="E466" s="4" t="s">
        <v>23</v>
      </c>
      <c r="F466" s="7" t="str">
        <f t="array" ref="F466">IFERROR(
  INDEX(lookup_table!B:B,
        MATCH(TRUE,
              ISNUMBER(SEARCH(lookup_table!A:A,C466)),
        0)
  ),
"Uncategorized")
</f>
        <v>Shopping</v>
      </c>
      <c r="G466" s="1" t="s">
        <v>10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9">
        <v>45903.0</v>
      </c>
      <c r="B467" s="4" t="str">
        <f t="shared" si="1"/>
        <v>2025-09</v>
      </c>
      <c r="C467" s="2" t="s">
        <v>249</v>
      </c>
      <c r="D467" s="6">
        <v>5.69</v>
      </c>
      <c r="E467" s="4" t="s">
        <v>9</v>
      </c>
      <c r="F467" s="7" t="str">
        <f t="array" ref="F467">IFERROR(
  INDEX(lookup_table!B:B,
        MATCH(TRUE,
              ISNUMBER(SEARCH(lookup_table!A:A,C467)),
        0)
  ),
"Uncategorized")
</f>
        <v>Dining Out</v>
      </c>
      <c r="G467" s="1" t="s">
        <v>10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9">
        <v>45903.0</v>
      </c>
      <c r="B468" s="4" t="str">
        <f t="shared" si="1"/>
        <v>2025-09</v>
      </c>
      <c r="C468" s="2" t="s">
        <v>250</v>
      </c>
      <c r="D468" s="6">
        <v>9.6</v>
      </c>
      <c r="E468" s="4" t="s">
        <v>9</v>
      </c>
      <c r="F468" s="7" t="str">
        <f t="array" ref="F468">IFERROR(
  INDEX(lookup_table!B:B,
        MATCH(TRUE,
              ISNUMBER(SEARCH(lookup_table!A:A,C468)),
        0)
  ),
"Uncategorized")
</f>
        <v>Dining Out</v>
      </c>
      <c r="G468" s="1" t="s">
        <v>10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9">
        <v>45903.0</v>
      </c>
      <c r="B469" s="4" t="str">
        <f t="shared" si="1"/>
        <v>2025-09</v>
      </c>
      <c r="C469" s="2" t="s">
        <v>251</v>
      </c>
      <c r="D469" s="6">
        <v>26.81</v>
      </c>
      <c r="E469" s="4" t="s">
        <v>167</v>
      </c>
      <c r="F469" s="7" t="str">
        <f t="array" ref="F469">IFERROR(
  INDEX(lookup_table!B:B,
        MATCH(TRUE,
              ISNUMBER(SEARCH(lookup_table!A:A,C469)),
        0)
  ),
"Uncategorized")
</f>
        <v>Transportation</v>
      </c>
      <c r="G469" s="1" t="s">
        <v>21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9">
        <v>45903.0</v>
      </c>
      <c r="B470" s="4" t="str">
        <f t="shared" si="1"/>
        <v>2025-09</v>
      </c>
      <c r="C470" s="2" t="s">
        <v>247</v>
      </c>
      <c r="D470" s="6">
        <v>40.0</v>
      </c>
      <c r="E470" s="4" t="s">
        <v>167</v>
      </c>
      <c r="F470" s="7" t="str">
        <f t="array" ref="F470">IFERROR(
  INDEX(lookup_table!B:B,
        MATCH(TRUE,
              ISNUMBER(SEARCH(lookup_table!A:A,C470)),
        0)
  ),
"Uncategorized")
</f>
        <v>Transportation</v>
      </c>
      <c r="G470" s="1" t="s">
        <v>21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8">
        <v>45903.0</v>
      </c>
      <c r="B471" s="4" t="str">
        <f t="shared" si="1"/>
        <v>2025-09</v>
      </c>
      <c r="C471" s="2" t="s">
        <v>252</v>
      </c>
      <c r="D471" s="6">
        <v>4.5</v>
      </c>
      <c r="E471" s="4" t="s">
        <v>45</v>
      </c>
      <c r="F471" s="7" t="str">
        <f t="array" ref="F471">IFERROR(
  INDEX(lookup_table!B:B,
        MATCH(TRUE,
              ISNUMBER(SEARCH(lookup_table!A:A,C471)),
        0)
  ),
"Uncategorized")
</f>
        <v>Travel</v>
      </c>
      <c r="G471" s="1" t="s">
        <v>13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9">
        <v>45904.0</v>
      </c>
      <c r="B472" s="4" t="str">
        <f t="shared" si="1"/>
        <v>2025-09</v>
      </c>
      <c r="C472" s="2" t="s">
        <v>36</v>
      </c>
      <c r="D472" s="6">
        <v>60.79</v>
      </c>
      <c r="E472" s="4" t="s">
        <v>167</v>
      </c>
      <c r="F472" s="7" t="str">
        <f t="array" ref="F472">IFERROR(
  INDEX(lookup_table!B:B,
        MATCH(TRUE,
              ISNUMBER(SEARCH(lookup_table!A:A,C472)),
        0)
  ),
"Uncategorized")
</f>
        <v>Bills</v>
      </c>
      <c r="G472" s="1" t="s">
        <v>21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9">
        <v>45904.0</v>
      </c>
      <c r="B473" s="4" t="str">
        <f t="shared" si="1"/>
        <v>2025-09</v>
      </c>
      <c r="C473" s="2" t="s">
        <v>111</v>
      </c>
      <c r="D473" s="6">
        <v>8.26</v>
      </c>
      <c r="E473" s="4" t="s">
        <v>9</v>
      </c>
      <c r="F473" s="7" t="str">
        <f t="array" ref="F473">IFERROR(
  INDEX(lookup_table!B:B,
        MATCH(TRUE,
              ISNUMBER(SEARCH(lookup_table!A:A,C473)),
        0)
  ),
"Uncategorized")
</f>
        <v>Dining Out</v>
      </c>
      <c r="G473" s="1" t="s">
        <v>10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8">
        <v>45904.0</v>
      </c>
      <c r="B474" s="4" t="str">
        <f t="shared" si="1"/>
        <v>2025-09</v>
      </c>
      <c r="C474" s="2" t="s">
        <v>253</v>
      </c>
      <c r="D474" s="6">
        <v>3.79</v>
      </c>
      <c r="E474" s="4" t="s">
        <v>87</v>
      </c>
      <c r="F474" s="7" t="str">
        <f t="array" ref="F474">IFERROR(
  INDEX(lookup_table!B:B,
        MATCH(TRUE,
              ISNUMBER(SEARCH(lookup_table!A:A,C474)),
        0)
  ),
"Uncategorized")
</f>
        <v>Groceries</v>
      </c>
      <c r="G474" s="1" t="s">
        <v>13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9">
        <v>45904.0</v>
      </c>
      <c r="B475" s="4" t="str">
        <f t="shared" si="1"/>
        <v>2025-09</v>
      </c>
      <c r="C475" s="2" t="s">
        <v>14</v>
      </c>
      <c r="D475" s="6">
        <v>14.25</v>
      </c>
      <c r="E475" s="4" t="s">
        <v>23</v>
      </c>
      <c r="F475" s="7" t="str">
        <f t="array" ref="F475">IFERROR(
  INDEX(lookup_table!B:B,
        MATCH(TRUE,
              ISNUMBER(SEARCH(lookup_table!A:A,C475)),
        0)
  ),
"Uncategorized")
</f>
        <v>Groceries</v>
      </c>
      <c r="G475" s="1" t="s">
        <v>10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9">
        <v>45904.0</v>
      </c>
      <c r="B476" s="4" t="str">
        <f t="shared" si="1"/>
        <v>2025-09</v>
      </c>
      <c r="C476" s="2" t="s">
        <v>14</v>
      </c>
      <c r="D476" s="6">
        <v>9.02</v>
      </c>
      <c r="E476" s="4" t="s">
        <v>23</v>
      </c>
      <c r="F476" s="7" t="str">
        <f t="array" ref="F476">IFERROR(
  INDEX(lookup_table!B:B,
        MATCH(TRUE,
              ISNUMBER(SEARCH(lookup_table!A:A,C476)),
        0)
  ),
"Uncategorized")
</f>
        <v>Groceries</v>
      </c>
      <c r="G476" s="1" t="s">
        <v>10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9">
        <v>45904.0</v>
      </c>
      <c r="B477" s="4" t="str">
        <f t="shared" si="1"/>
        <v>2025-09</v>
      </c>
      <c r="C477" s="10" t="s">
        <v>120</v>
      </c>
      <c r="D477" s="6">
        <v>11.94</v>
      </c>
      <c r="E477" s="4" t="s">
        <v>28</v>
      </c>
      <c r="F477" s="7" t="str">
        <f t="array" ref="F477">IFERROR(
  INDEX(lookup_table!B:B,
        MATCH(TRUE,
              ISNUMBER(SEARCH(lookup_table!A:A,C477)),
        0)
  ),
"Uncategorized")
</f>
        <v>Shopping</v>
      </c>
      <c r="G477" s="1" t="s">
        <v>10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9">
        <v>45905.0</v>
      </c>
      <c r="B478" s="4" t="str">
        <f t="shared" si="1"/>
        <v>2025-09</v>
      </c>
      <c r="C478" s="2" t="s">
        <v>34</v>
      </c>
      <c r="D478" s="6">
        <v>12.85</v>
      </c>
      <c r="E478" s="4" t="s">
        <v>28</v>
      </c>
      <c r="F478" s="7" t="str">
        <f t="array" ref="F478">IFERROR(
  INDEX(lookup_table!B:B,
        MATCH(TRUE,
              ISNUMBER(SEARCH(lookup_table!A:A,C478)),
        0)
  ),
"Uncategorized")
</f>
        <v>Bills</v>
      </c>
      <c r="G478" s="1" t="s">
        <v>10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9">
        <v>45905.0</v>
      </c>
      <c r="B479" s="4" t="str">
        <f t="shared" si="1"/>
        <v>2025-09</v>
      </c>
      <c r="C479" s="2" t="s">
        <v>111</v>
      </c>
      <c r="D479" s="6">
        <v>12.69</v>
      </c>
      <c r="E479" s="4" t="s">
        <v>9</v>
      </c>
      <c r="F479" s="7" t="str">
        <f t="array" ref="F479">IFERROR(
  INDEX(lookup_table!B:B,
        MATCH(TRUE,
              ISNUMBER(SEARCH(lookup_table!A:A,C479)),
        0)
  ),
"Uncategorized")
</f>
        <v>Dining Out</v>
      </c>
      <c r="G479" s="1" t="s">
        <v>10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9">
        <v>45905.0</v>
      </c>
      <c r="B480" s="4" t="str">
        <f t="shared" si="1"/>
        <v>2025-09</v>
      </c>
      <c r="C480" s="2" t="s">
        <v>254</v>
      </c>
      <c r="D480" s="6">
        <v>50.0</v>
      </c>
      <c r="E480" s="4" t="s">
        <v>167</v>
      </c>
      <c r="F480" s="7" t="str">
        <f t="array" ref="F480">IFERROR(
  INDEX(lookup_table!B:B,
        MATCH(TRUE,
              ISNUMBER(SEARCH(lookup_table!A:A,C480)),
        0)
  ),
"Uncategorized")
</f>
        <v>Dining Out</v>
      </c>
      <c r="G480" s="1" t="s">
        <v>21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8">
        <v>45905.0</v>
      </c>
      <c r="B481" s="4" t="str">
        <f t="shared" si="1"/>
        <v>2025-09</v>
      </c>
      <c r="C481" s="2" t="s">
        <v>255</v>
      </c>
      <c r="D481" s="6">
        <v>3.09</v>
      </c>
      <c r="E481" s="4" t="s">
        <v>17</v>
      </c>
      <c r="F481" s="7" t="str">
        <f t="array" ref="F481">IFERROR(
  INDEX(lookup_table!B:B,
        MATCH(TRUE,
              ISNUMBER(SEARCH(lookup_table!A:A,C481)),
        0)
  ),
"Uncategorized")
</f>
        <v>Dining Out</v>
      </c>
      <c r="G481" s="1" t="s">
        <v>13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9">
        <v>45905.0</v>
      </c>
      <c r="B482" s="4" t="str">
        <f t="shared" si="1"/>
        <v>2025-09</v>
      </c>
      <c r="C482" s="2" t="s">
        <v>256</v>
      </c>
      <c r="D482" s="6">
        <v>9.0</v>
      </c>
      <c r="E482" s="4" t="s">
        <v>40</v>
      </c>
      <c r="F482" s="7" t="str">
        <f t="array" ref="F482">IFERROR(
  INDEX(lookup_table!B:B,
        MATCH(TRUE,
              ISNUMBER(SEARCH(lookup_table!A:A,C482)),
        0)
  ),
"Uncategorized")
</f>
        <v>Travel</v>
      </c>
      <c r="G482" s="1" t="s">
        <v>10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9">
        <v>45906.0</v>
      </c>
      <c r="B483" s="4" t="str">
        <f t="shared" si="1"/>
        <v>2025-09</v>
      </c>
      <c r="C483" s="2" t="s">
        <v>111</v>
      </c>
      <c r="D483" s="6">
        <v>5.79</v>
      </c>
      <c r="E483" s="4" t="s">
        <v>9</v>
      </c>
      <c r="F483" s="7" t="str">
        <f t="array" ref="F483">IFERROR(
  INDEX(lookup_table!B:B,
        MATCH(TRUE,
              ISNUMBER(SEARCH(lookup_table!A:A,C483)),
        0)
  ),
"Uncategorized")
</f>
        <v>Dining Out</v>
      </c>
      <c r="G483" s="1" t="s">
        <v>10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8">
        <v>45906.0</v>
      </c>
      <c r="B484" s="4" t="str">
        <f t="shared" si="1"/>
        <v>2025-09</v>
      </c>
      <c r="C484" s="2" t="s">
        <v>257</v>
      </c>
      <c r="D484" s="6">
        <v>28.82</v>
      </c>
      <c r="E484" s="4" t="s">
        <v>50</v>
      </c>
      <c r="F484" s="7" t="str">
        <f t="array" ref="F484">IFERROR(
  INDEX(lookup_table!B:B,
        MATCH(TRUE,
              ISNUMBER(SEARCH(lookup_table!A:A,C484)),
        0)
  ),
"Uncategorized")
</f>
        <v>Groceries</v>
      </c>
      <c r="G484" s="1" t="s">
        <v>13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9">
        <v>45906.0</v>
      </c>
      <c r="B485" s="4" t="str">
        <f t="shared" si="1"/>
        <v>2025-09</v>
      </c>
      <c r="C485" s="2" t="s">
        <v>258</v>
      </c>
      <c r="D485" s="6">
        <v>30.0</v>
      </c>
      <c r="E485" s="4" t="s">
        <v>167</v>
      </c>
      <c r="F485" s="7" t="str">
        <f t="array" ref="F485">IFERROR(
  INDEX(lookup_table!B:B,
        MATCH(TRUE,
              ISNUMBER(SEARCH(lookup_table!A:A,C485)),
        0)
  ),
"Uncategorized")
</f>
        <v>Transportation</v>
      </c>
      <c r="G485" s="1" t="s">
        <v>21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8">
        <v>45907.0</v>
      </c>
      <c r="B486" s="4" t="str">
        <f t="shared" si="1"/>
        <v>2025-09</v>
      </c>
      <c r="C486" s="2" t="s">
        <v>259</v>
      </c>
      <c r="D486" s="6">
        <v>3.25</v>
      </c>
      <c r="E486" s="4" t="s">
        <v>87</v>
      </c>
      <c r="F486" s="7" t="str">
        <f t="array" ref="F486">IFERROR(
  INDEX(lookup_table!B:B,
        MATCH(TRUE,
              ISNUMBER(SEARCH(lookup_table!A:A,C486)),
        0)
  ),
"Uncategorized")
</f>
        <v>Transportation</v>
      </c>
      <c r="G486" s="1" t="s">
        <v>13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8">
        <v>45908.0</v>
      </c>
      <c r="B487" s="4" t="str">
        <f t="shared" si="1"/>
        <v>2025-09</v>
      </c>
      <c r="C487" s="2" t="s">
        <v>29</v>
      </c>
      <c r="D487" s="6">
        <v>50.0</v>
      </c>
      <c r="E487" s="4" t="s">
        <v>30</v>
      </c>
      <c r="F487" s="7" t="str">
        <f t="array" ref="F487">IFERROR(
  INDEX(lookup_table!B:B,
        MATCH(TRUE,
              ISNUMBER(SEARCH(lookup_table!A:A,C487)),
        0)
  ),
"Uncategorized")
</f>
        <v>Bills</v>
      </c>
      <c r="G487" s="1" t="s">
        <v>13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8">
        <v>45908.0</v>
      </c>
      <c r="B488" s="4" t="str">
        <f t="shared" si="1"/>
        <v>2025-09</v>
      </c>
      <c r="C488" s="2" t="s">
        <v>31</v>
      </c>
      <c r="D488" s="6">
        <v>346.3</v>
      </c>
      <c r="E488" s="4" t="s">
        <v>32</v>
      </c>
      <c r="F488" s="7" t="str">
        <f t="array" ref="F488">IFERROR(
  INDEX(lookup_table!B:B,
        MATCH(TRUE,
              ISNUMBER(SEARCH(lookup_table!A:A,C488)),
        0)
  ),
"Uncategorized")
</f>
        <v>Bills</v>
      </c>
      <c r="G488" s="1" t="s">
        <v>13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9">
        <v>45908.0</v>
      </c>
      <c r="B489" s="4" t="str">
        <f t="shared" si="1"/>
        <v>2025-09</v>
      </c>
      <c r="C489" s="2" t="s">
        <v>111</v>
      </c>
      <c r="D489" s="6">
        <v>5.0</v>
      </c>
      <c r="E489" s="4" t="s">
        <v>9</v>
      </c>
      <c r="F489" s="7" t="str">
        <f t="array" ref="F489">IFERROR(
  INDEX(lookup_table!B:B,
        MATCH(TRUE,
              ISNUMBER(SEARCH(lookup_table!A:A,C489)),
        0)
  ),
"Uncategorized")
</f>
        <v>Dining Out</v>
      </c>
      <c r="G489" s="1" t="s">
        <v>10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9">
        <v>45908.0</v>
      </c>
      <c r="B490" s="4" t="str">
        <f t="shared" si="1"/>
        <v>2025-09</v>
      </c>
      <c r="C490" s="2" t="s">
        <v>39</v>
      </c>
      <c r="D490" s="6">
        <v>65.04</v>
      </c>
      <c r="E490" s="4" t="s">
        <v>35</v>
      </c>
      <c r="F490" s="7" t="str">
        <f t="array" ref="F490">IFERROR(
  INDEX(lookup_table!B:B,
        MATCH(TRUE,
              ISNUMBER(SEARCH(lookup_table!A:A,C490)),
        0)
  ),
"Uncategorized")
</f>
        <v>Groceries</v>
      </c>
      <c r="G490" s="1" t="s">
        <v>21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8">
        <v>45908.0</v>
      </c>
      <c r="B491" s="4" t="str">
        <f t="shared" si="1"/>
        <v>2025-09</v>
      </c>
      <c r="C491" s="2" t="s">
        <v>257</v>
      </c>
      <c r="D491" s="6">
        <v>6.58</v>
      </c>
      <c r="E491" s="4" t="s">
        <v>50</v>
      </c>
      <c r="F491" s="7" t="str">
        <f t="array" ref="F491">IFERROR(
  INDEX(lookup_table!B:B,
        MATCH(TRUE,
              ISNUMBER(SEARCH(lookup_table!A:A,C491)),
        0)
  ),
"Uncategorized")
</f>
        <v>Groceries</v>
      </c>
      <c r="G491" s="1" t="s">
        <v>13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8">
        <v>45908.0</v>
      </c>
      <c r="B492" s="4" t="str">
        <f t="shared" si="1"/>
        <v>2025-09</v>
      </c>
      <c r="C492" s="2" t="s">
        <v>260</v>
      </c>
      <c r="D492" s="6">
        <v>5.95</v>
      </c>
      <c r="E492" s="4" t="s">
        <v>87</v>
      </c>
      <c r="F492" s="7" t="str">
        <f t="array" ref="F492">IFERROR(
  INDEX(lookup_table!B:B,
        MATCH(TRUE,
              ISNUMBER(SEARCH(lookup_table!A:A,C492)),
        0)
  ),
"Uncategorized")
</f>
        <v>Other</v>
      </c>
      <c r="G492" s="1" t="s">
        <v>13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9">
        <v>45908.0</v>
      </c>
      <c r="B493" s="4" t="str">
        <f t="shared" si="1"/>
        <v>2025-09</v>
      </c>
      <c r="C493" s="2" t="s">
        <v>261</v>
      </c>
      <c r="D493" s="6">
        <v>67.68</v>
      </c>
      <c r="E493" s="4" t="s">
        <v>167</v>
      </c>
      <c r="F493" s="7" t="str">
        <f t="array" ref="F493">IFERROR(
  INDEX(lookup_table!B:B,
        MATCH(TRUE,
              ISNUMBER(SEARCH(lookup_table!A:A,C493)),
        0)
  ),
"Uncategorized")
</f>
        <v>Transportation</v>
      </c>
      <c r="G493" s="1" t="s">
        <v>21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9">
        <v>45909.0</v>
      </c>
      <c r="B494" s="4" t="str">
        <f t="shared" si="1"/>
        <v>2025-09</v>
      </c>
      <c r="C494" s="2" t="s">
        <v>111</v>
      </c>
      <c r="D494" s="6">
        <v>11.63</v>
      </c>
      <c r="E494" s="4" t="s">
        <v>9</v>
      </c>
      <c r="F494" s="7" t="str">
        <f t="array" ref="F494">IFERROR(
  INDEX(lookup_table!B:B,
        MATCH(TRUE,
              ISNUMBER(SEARCH(lookup_table!A:A,C494)),
        0)
  ),
"Uncategorized")
</f>
        <v>Dining Out</v>
      </c>
      <c r="G494" s="1" t="s">
        <v>10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9">
        <v>45909.0</v>
      </c>
      <c r="B495" s="4" t="str">
        <f t="shared" si="1"/>
        <v>2025-09</v>
      </c>
      <c r="C495" s="2" t="s">
        <v>262</v>
      </c>
      <c r="D495" s="6">
        <v>12.47</v>
      </c>
      <c r="E495" s="4" t="s">
        <v>167</v>
      </c>
      <c r="F495" s="7" t="str">
        <f t="array" ref="F495">IFERROR(
  INDEX(lookup_table!B:B,
        MATCH(TRUE,
              ISNUMBER(SEARCH(lookup_table!A:A,C495)),
        0)
  ),
"Uncategorized")
</f>
        <v>Dining Out</v>
      </c>
      <c r="G495" s="1" t="s">
        <v>21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9">
        <v>45909.0</v>
      </c>
      <c r="B496" s="4" t="str">
        <f t="shared" si="1"/>
        <v>2025-09</v>
      </c>
      <c r="C496" s="2" t="s">
        <v>263</v>
      </c>
      <c r="D496" s="6">
        <v>31.12</v>
      </c>
      <c r="E496" s="4" t="s">
        <v>167</v>
      </c>
      <c r="F496" s="7" t="str">
        <f t="array" ref="F496">IFERROR(
  INDEX(lookup_table!B:B,
        MATCH(TRUE,
              ISNUMBER(SEARCH(lookup_table!A:A,C496)),
        0)
  ),
"Uncategorized")
</f>
        <v>Transportation</v>
      </c>
      <c r="G496" s="1" t="s">
        <v>21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9">
        <v>45909.0</v>
      </c>
      <c r="B497" s="4" t="str">
        <f t="shared" si="1"/>
        <v>2025-09</v>
      </c>
      <c r="C497" s="2" t="s">
        <v>264</v>
      </c>
      <c r="D497" s="6">
        <v>8.79</v>
      </c>
      <c r="E497" s="4" t="s">
        <v>26</v>
      </c>
      <c r="F497" s="7" t="str">
        <f t="array" ref="F497">IFERROR(
  INDEX(lookup_table!B:B,
        MATCH(TRUE,
              ISNUMBER(SEARCH(lookup_table!A:A,C497)),
        0)
  ),
"Uncategorized")
</f>
        <v>Transportation</v>
      </c>
      <c r="G497" s="1" t="s">
        <v>10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9">
        <v>45909.0</v>
      </c>
      <c r="B498" s="4" t="str">
        <f t="shared" si="1"/>
        <v>2025-09</v>
      </c>
      <c r="C498" s="2" t="s">
        <v>265</v>
      </c>
      <c r="D498" s="6">
        <v>35.0</v>
      </c>
      <c r="E498" s="4" t="s">
        <v>167</v>
      </c>
      <c r="F498" s="7" t="str">
        <f t="array" ref="F498">IFERROR(
  INDEX(lookup_table!B:B,
        MATCH(TRUE,
              ISNUMBER(SEARCH(lookup_table!A:A,C498)),
        0)
  ),
"Uncategorized")
</f>
        <v>Travel</v>
      </c>
      <c r="G498" s="1" t="s">
        <v>21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9">
        <v>45909.0</v>
      </c>
      <c r="B499" s="4" t="str">
        <f t="shared" si="1"/>
        <v>2025-09</v>
      </c>
      <c r="C499" s="2" t="s">
        <v>266</v>
      </c>
      <c r="D499" s="6">
        <v>13.19</v>
      </c>
      <c r="E499" s="4" t="s">
        <v>28</v>
      </c>
      <c r="F499" s="7" t="str">
        <f t="array" ref="F499">IFERROR(
  INDEX(lookup_table!B:B,
        MATCH(TRUE,
              ISNUMBER(SEARCH(lookup_table!A:A,C499)),
        0)
  ),
"Uncategorized")
</f>
        <v>Travel</v>
      </c>
      <c r="G499" s="1" t="s">
        <v>10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9">
        <v>45910.0</v>
      </c>
      <c r="B500" s="4" t="str">
        <f t="shared" si="1"/>
        <v>2025-09</v>
      </c>
      <c r="C500" s="2" t="s">
        <v>43</v>
      </c>
      <c r="D500" s="6">
        <v>13.9</v>
      </c>
      <c r="E500" s="4" t="s">
        <v>26</v>
      </c>
      <c r="F500" s="7" t="str">
        <f t="array" ref="F500">IFERROR(
  INDEX(lookup_table!B:B,
        MATCH(TRUE,
              ISNUMBER(SEARCH(lookup_table!A:A,C500)),
        0)
  ),
"Uncategorized")
</f>
        <v>Subscriptions</v>
      </c>
      <c r="G500" s="1" t="s">
        <v>10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9">
        <v>45910.0</v>
      </c>
      <c r="B501" s="4" t="str">
        <f t="shared" si="1"/>
        <v>2025-09</v>
      </c>
      <c r="C501" s="2" t="s">
        <v>267</v>
      </c>
      <c r="D501" s="6">
        <v>11.75</v>
      </c>
      <c r="E501" s="4" t="s">
        <v>28</v>
      </c>
      <c r="F501" s="7" t="str">
        <f t="array" ref="F501">IFERROR(
  INDEX(lookup_table!B:B,
        MATCH(TRUE,
              ISNUMBER(SEARCH(lookup_table!A:A,C501)),
        0)
  ),
"Uncategorized")
</f>
        <v>Transportation</v>
      </c>
      <c r="G501" s="1" t="s">
        <v>10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9">
        <v>45911.0</v>
      </c>
      <c r="B502" s="4" t="str">
        <f t="shared" si="1"/>
        <v>2025-09</v>
      </c>
      <c r="C502" s="2" t="s">
        <v>268</v>
      </c>
      <c r="D502" s="6">
        <v>11.32</v>
      </c>
      <c r="E502" s="4" t="s">
        <v>26</v>
      </c>
      <c r="F502" s="7" t="str">
        <f t="array" ref="F502">IFERROR(
  INDEX(lookup_table!B:B,
        MATCH(TRUE,
              ISNUMBER(SEARCH(lookup_table!A:A,C502)),
        0)
  ),
"Uncategorized")
</f>
        <v>Transportation</v>
      </c>
      <c r="G502" s="1" t="s">
        <v>10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9">
        <v>45911.0</v>
      </c>
      <c r="B503" s="4" t="str">
        <f t="shared" si="1"/>
        <v>2025-09</v>
      </c>
      <c r="C503" s="2" t="s">
        <v>268</v>
      </c>
      <c r="D503" s="6">
        <v>57.43</v>
      </c>
      <c r="E503" s="4" t="s">
        <v>167</v>
      </c>
      <c r="F503" s="7" t="str">
        <f t="array" ref="F503">IFERROR(
  INDEX(lookup_table!B:B,
        MATCH(TRUE,
              ISNUMBER(SEARCH(lookup_table!A:A,C503)),
        0)
  ),
"Uncategorized")
</f>
        <v>Transportation</v>
      </c>
      <c r="G503" s="1" t="s">
        <v>21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8">
        <v>45911.0</v>
      </c>
      <c r="B504" s="4" t="str">
        <f t="shared" si="1"/>
        <v>2025-09</v>
      </c>
      <c r="C504" s="2" t="s">
        <v>269</v>
      </c>
      <c r="D504" s="6">
        <v>2.39</v>
      </c>
      <c r="E504" s="4" t="s">
        <v>129</v>
      </c>
      <c r="F504" s="7" t="str">
        <f t="array" ref="F504">IFERROR(
  INDEX(lookup_table!B:B,
        MATCH(TRUE,
              ISNUMBER(SEARCH(lookup_table!A:A,C504)),
        0)
  ),
"Uncategorized")
</f>
        <v>Travel</v>
      </c>
      <c r="G504" s="1" t="s">
        <v>13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9">
        <v>45912.0</v>
      </c>
      <c r="B505" s="4" t="str">
        <f t="shared" si="1"/>
        <v>2025-09</v>
      </c>
      <c r="C505" s="2" t="s">
        <v>34</v>
      </c>
      <c r="D505" s="6">
        <v>10.7</v>
      </c>
      <c r="E505" s="4" t="s">
        <v>28</v>
      </c>
      <c r="F505" s="7" t="str">
        <f t="array" ref="F505">IFERROR(
  INDEX(lookup_table!B:B,
        MATCH(TRUE,
              ISNUMBER(SEARCH(lookup_table!A:A,C505)),
        0)
  ),
"Uncategorized")
</f>
        <v>Bills</v>
      </c>
      <c r="G505" s="1" t="s">
        <v>10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9">
        <v>45912.0</v>
      </c>
      <c r="B506" s="4" t="str">
        <f t="shared" si="1"/>
        <v>2025-09</v>
      </c>
      <c r="C506" s="2" t="s">
        <v>111</v>
      </c>
      <c r="D506" s="6">
        <v>6.43</v>
      </c>
      <c r="E506" s="4" t="s">
        <v>9</v>
      </c>
      <c r="F506" s="7" t="str">
        <f t="array" ref="F506">IFERROR(
  INDEX(lookup_table!B:B,
        MATCH(TRUE,
              ISNUMBER(SEARCH(lookup_table!A:A,C506)),
        0)
  ),
"Uncategorized")
</f>
        <v>Dining Out</v>
      </c>
      <c r="G506" s="1" t="s">
        <v>10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9">
        <v>45912.0</v>
      </c>
      <c r="B507" s="4" t="str">
        <f t="shared" si="1"/>
        <v>2025-09</v>
      </c>
      <c r="C507" s="2" t="s">
        <v>270</v>
      </c>
      <c r="D507" s="6">
        <v>4.5</v>
      </c>
      <c r="E507" s="4" t="s">
        <v>26</v>
      </c>
      <c r="F507" s="7" t="str">
        <f t="array" ref="F507">IFERROR(
  INDEX(lookup_table!B:B,
        MATCH(TRUE,
              ISNUMBER(SEARCH(lookup_table!A:A,C507)),
        0)
  ),
"Uncategorized")
</f>
        <v>Transportation</v>
      </c>
      <c r="G507" s="1" t="s">
        <v>10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9">
        <v>45912.0</v>
      </c>
      <c r="B508" s="4" t="str">
        <f t="shared" si="1"/>
        <v>2025-09</v>
      </c>
      <c r="C508" s="2" t="s">
        <v>270</v>
      </c>
      <c r="D508" s="6">
        <v>38.82</v>
      </c>
      <c r="E508" s="4" t="s">
        <v>167</v>
      </c>
      <c r="F508" s="7" t="str">
        <f t="array" ref="F508">IFERROR(
  INDEX(lookup_table!B:B,
        MATCH(TRUE,
              ISNUMBER(SEARCH(lookup_table!A:A,C508)),
        0)
  ),
"Uncategorized")
</f>
        <v>Transportation</v>
      </c>
      <c r="G508" s="1" t="s">
        <v>21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9">
        <v>45912.0</v>
      </c>
      <c r="B509" s="4" t="str">
        <f t="shared" si="1"/>
        <v>2025-09</v>
      </c>
      <c r="C509" s="2" t="s">
        <v>271</v>
      </c>
      <c r="D509" s="6">
        <v>12.0</v>
      </c>
      <c r="E509" s="4" t="s">
        <v>28</v>
      </c>
      <c r="F509" s="7" t="str">
        <f t="array" ref="F509">IFERROR(
  INDEX(lookup_table!B:B,
        MATCH(TRUE,
              ISNUMBER(SEARCH(lookup_table!A:A,C509)),
        0)
  ),
"Uncategorized")
</f>
        <v>Travel</v>
      </c>
      <c r="G509" s="1" t="s">
        <v>10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8">
        <v>45912.0</v>
      </c>
      <c r="B510" s="4" t="str">
        <f t="shared" si="1"/>
        <v>2025-09</v>
      </c>
      <c r="C510" s="2" t="s">
        <v>272</v>
      </c>
      <c r="D510" s="6">
        <v>5.83</v>
      </c>
      <c r="E510" s="4" t="s">
        <v>87</v>
      </c>
      <c r="F510" s="7" t="str">
        <f t="array" ref="F510">IFERROR(
  INDEX(lookup_table!B:B,
        MATCH(TRUE,
              ISNUMBER(SEARCH(lookup_table!A:A,C510)),
        0)
  ),
"Uncategorized")
</f>
        <v>Travel</v>
      </c>
      <c r="G510" s="1" t="s">
        <v>13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9">
        <v>45913.0</v>
      </c>
      <c r="B511" s="4" t="str">
        <f t="shared" si="1"/>
        <v>2025-09</v>
      </c>
      <c r="C511" s="2" t="s">
        <v>22</v>
      </c>
      <c r="D511" s="6">
        <v>7.92</v>
      </c>
      <c r="E511" s="4" t="s">
        <v>28</v>
      </c>
      <c r="F511" s="7" t="str">
        <f t="array" ref="F511">IFERROR(
  INDEX(lookup_table!B:B,
        MATCH(TRUE,
              ISNUMBER(SEARCH(lookup_table!A:A,C511)),
        0)
  ),
"Uncategorized")
</f>
        <v>Groceries</v>
      </c>
      <c r="G511" s="1" t="s">
        <v>10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9">
        <v>45913.0</v>
      </c>
      <c r="B512" s="4" t="str">
        <f t="shared" si="1"/>
        <v>2025-09</v>
      </c>
      <c r="C512" s="2" t="s">
        <v>183</v>
      </c>
      <c r="D512" s="6">
        <v>27.89</v>
      </c>
      <c r="E512" s="4" t="s">
        <v>167</v>
      </c>
      <c r="F512" s="7" t="str">
        <f t="array" ref="F512">IFERROR(
  INDEX(lookup_table!B:B,
        MATCH(TRUE,
              ISNUMBER(SEARCH(lookup_table!A:A,C512)),
        0)
  ),
"Uncategorized")
</f>
        <v>Shopping</v>
      </c>
      <c r="G512" s="1" t="s">
        <v>21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9">
        <v>45913.0</v>
      </c>
      <c r="B513" s="4" t="str">
        <f t="shared" si="1"/>
        <v>2025-09</v>
      </c>
      <c r="C513" s="2" t="s">
        <v>170</v>
      </c>
      <c r="D513" s="6">
        <v>15.77</v>
      </c>
      <c r="E513" s="4" t="s">
        <v>28</v>
      </c>
      <c r="F513" s="7" t="str">
        <f t="array" ref="F513">IFERROR(
  INDEX(lookup_table!B:B,
        MATCH(TRUE,
              ISNUMBER(SEARCH(lookup_table!A:A,C513)),
        0)
  ),
"Uncategorized")
</f>
        <v>Subscriptions</v>
      </c>
      <c r="G513" s="1" t="s">
        <v>10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8">
        <v>45913.0</v>
      </c>
      <c r="B514" s="4" t="str">
        <f t="shared" si="1"/>
        <v>2025-09</v>
      </c>
      <c r="C514" s="2" t="s">
        <v>127</v>
      </c>
      <c r="D514" s="6">
        <v>2.72</v>
      </c>
      <c r="E514" s="4" t="s">
        <v>12</v>
      </c>
      <c r="F514" s="7" t="str">
        <f t="array" ref="F514">IFERROR(
  INDEX(lookup_table!B:B,
        MATCH(TRUE,
              ISNUMBER(SEARCH(lookup_table!A:A,C514)),
        0)
  ),
"Uncategorized")
</f>
        <v>Transportation</v>
      </c>
      <c r="G514" s="1" t="s">
        <v>13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9">
        <v>45913.0</v>
      </c>
      <c r="B515" s="4" t="str">
        <f t="shared" si="1"/>
        <v>2025-09</v>
      </c>
      <c r="C515" s="2" t="s">
        <v>77</v>
      </c>
      <c r="D515" s="6">
        <v>15.49</v>
      </c>
      <c r="E515" s="4" t="s">
        <v>26</v>
      </c>
      <c r="F515" s="7" t="str">
        <f t="array" ref="F515">IFERROR(
  INDEX(lookup_table!B:B,
        MATCH(TRUE,
              ISNUMBER(SEARCH(lookup_table!A:A,C515)),
        0)
  ),
"Uncategorized")
</f>
        <v>Transportation</v>
      </c>
      <c r="G515" s="1" t="s">
        <v>10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9">
        <v>45913.0</v>
      </c>
      <c r="B516" s="4" t="str">
        <f t="shared" si="1"/>
        <v>2025-09</v>
      </c>
      <c r="C516" s="2" t="s">
        <v>273</v>
      </c>
      <c r="D516" s="6">
        <v>9.43</v>
      </c>
      <c r="E516" s="4" t="s">
        <v>28</v>
      </c>
      <c r="F516" s="7" t="str">
        <f t="array" ref="F516">IFERROR(
  INDEX(lookup_table!B:B,
        MATCH(TRUE,
              ISNUMBER(SEARCH(lookup_table!A:A,C516)),
        0)
  ),
"Uncategorized")
</f>
        <v>Travel</v>
      </c>
      <c r="G516" s="1" t="s">
        <v>10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9">
        <v>45913.0</v>
      </c>
      <c r="B517" s="4" t="str">
        <f t="shared" si="1"/>
        <v>2025-09</v>
      </c>
      <c r="C517" s="2" t="s">
        <v>274</v>
      </c>
      <c r="D517" s="6">
        <v>7.38</v>
      </c>
      <c r="E517" s="4" t="s">
        <v>28</v>
      </c>
      <c r="F517" s="7" t="str">
        <f t="array" ref="F517">IFERROR(
  INDEX(lookup_table!B:B,
        MATCH(TRUE,
              ISNUMBER(SEARCH(lookup_table!A:A,C517)),
        0)
  ),
"Uncategorized")
</f>
        <v>Travel</v>
      </c>
      <c r="G517" s="1" t="s">
        <v>10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9">
        <v>45913.0</v>
      </c>
      <c r="B518" s="4" t="str">
        <f t="shared" si="1"/>
        <v>2025-09</v>
      </c>
      <c r="C518" s="2" t="s">
        <v>274</v>
      </c>
      <c r="D518" s="6">
        <v>16.0</v>
      </c>
      <c r="E518" s="4" t="s">
        <v>116</v>
      </c>
      <c r="F518" s="7" t="str">
        <f t="array" ref="F518">IFERROR(
  INDEX(lookup_table!B:B,
        MATCH(TRUE,
              ISNUMBER(SEARCH(lookup_table!A:A,C518)),
        0)
  ),
"Uncategorized")
</f>
        <v>Travel</v>
      </c>
      <c r="G518" s="1" t="s">
        <v>10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9">
        <v>45914.0</v>
      </c>
      <c r="B519" s="4" t="str">
        <f t="shared" si="1"/>
        <v>2025-09</v>
      </c>
      <c r="C519" s="2" t="s">
        <v>111</v>
      </c>
      <c r="D519" s="6">
        <v>9.68</v>
      </c>
      <c r="E519" s="4" t="s">
        <v>9</v>
      </c>
      <c r="F519" s="7" t="str">
        <f t="array" ref="F519">IFERROR(
  INDEX(lookup_table!B:B,
        MATCH(TRUE,
              ISNUMBER(SEARCH(lookup_table!A:A,C519)),
        0)
  ),
"Uncategorized")
</f>
        <v>Dining Out</v>
      </c>
      <c r="G519" s="1" t="s">
        <v>10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9">
        <v>45914.0</v>
      </c>
      <c r="B520" s="4" t="str">
        <f t="shared" si="1"/>
        <v>2025-09</v>
      </c>
      <c r="C520" s="2" t="s">
        <v>212</v>
      </c>
      <c r="D520" s="6">
        <v>51.06</v>
      </c>
      <c r="E520" s="4" t="s">
        <v>167</v>
      </c>
      <c r="F520" s="7" t="str">
        <f t="array" ref="F520">IFERROR(
  INDEX(lookup_table!B:B,
        MATCH(TRUE,
              ISNUMBER(SEARCH(lookup_table!A:A,C520)),
        0)
  ),
"Uncategorized")
</f>
        <v>Dining Out</v>
      </c>
      <c r="G520" s="1" t="s">
        <v>21</v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9">
        <v>45914.0</v>
      </c>
      <c r="B521" s="4" t="str">
        <f t="shared" si="1"/>
        <v>2025-09</v>
      </c>
      <c r="C521" s="2" t="s">
        <v>275</v>
      </c>
      <c r="D521" s="6">
        <v>15.85</v>
      </c>
      <c r="E521" s="4" t="s">
        <v>26</v>
      </c>
      <c r="F521" s="7" t="str">
        <f t="array" ref="F521">IFERROR(
  INDEX(lookup_table!B:B,
        MATCH(TRUE,
              ISNUMBER(SEARCH(lookup_table!A:A,C521)),
        0)
  ),
"Uncategorized")
</f>
        <v>Shopping</v>
      </c>
      <c r="G521" s="1" t="s">
        <v>10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9">
        <v>45914.0</v>
      </c>
      <c r="B522" s="4" t="str">
        <f t="shared" si="1"/>
        <v>2025-09</v>
      </c>
      <c r="C522" s="2" t="s">
        <v>109</v>
      </c>
      <c r="D522" s="6">
        <v>53.51</v>
      </c>
      <c r="E522" s="4" t="s">
        <v>167</v>
      </c>
      <c r="F522" s="7" t="str">
        <f t="array" ref="F522">IFERROR(
  INDEX(lookup_table!B:B,
        MATCH(TRUE,
              ISNUMBER(SEARCH(lookup_table!A:A,C522)),
        0)
  ),
"Uncategorized")
</f>
        <v>Transportation</v>
      </c>
      <c r="G522" s="1" t="s">
        <v>21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9">
        <v>45914.0</v>
      </c>
      <c r="B523" s="4" t="str">
        <f t="shared" si="1"/>
        <v>2025-09</v>
      </c>
      <c r="C523" s="2" t="s">
        <v>276</v>
      </c>
      <c r="D523" s="6">
        <v>9.79</v>
      </c>
      <c r="E523" s="4" t="s">
        <v>40</v>
      </c>
      <c r="F523" s="7" t="str">
        <f t="array" ref="F523">IFERROR(
  INDEX(lookup_table!B:B,
        MATCH(TRUE,
              ISNUMBER(SEARCH(lookup_table!A:A,C523)),
        0)
  ),
"Uncategorized")
</f>
        <v>Travel</v>
      </c>
      <c r="G523" s="1" t="s">
        <v>10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8">
        <v>45915.0</v>
      </c>
      <c r="B524" s="4" t="str">
        <f t="shared" si="1"/>
        <v>2025-09</v>
      </c>
      <c r="C524" s="2" t="s">
        <v>264</v>
      </c>
      <c r="D524" s="6">
        <v>3.19</v>
      </c>
      <c r="E524" s="4" t="s">
        <v>129</v>
      </c>
      <c r="F524" s="7" t="str">
        <f t="array" ref="F524">IFERROR(
  INDEX(lookup_table!B:B,
        MATCH(TRUE,
              ISNUMBER(SEARCH(lookup_table!A:A,C524)),
        0)
  ),
"Uncategorized")
</f>
        <v>Transportation</v>
      </c>
      <c r="G524" s="1" t="s">
        <v>13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9">
        <v>45917.0</v>
      </c>
      <c r="B525" s="4" t="str">
        <f t="shared" si="1"/>
        <v>2025-09</v>
      </c>
      <c r="C525" s="2" t="s">
        <v>218</v>
      </c>
      <c r="D525" s="6">
        <v>52.74</v>
      </c>
      <c r="E525" s="4" t="s">
        <v>28</v>
      </c>
      <c r="F525" s="7" t="str">
        <f t="array" ref="F525">IFERROR(
  INDEX(lookup_table!B:B,
        MATCH(TRUE,
              ISNUMBER(SEARCH(lookup_table!A:A,C525)),
        0)
  ),
"Uncategorized")
</f>
        <v>Transportation</v>
      </c>
      <c r="G525" s="1" t="s">
        <v>10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9">
        <v>45917.0</v>
      </c>
      <c r="B526" s="4" t="str">
        <f t="shared" si="1"/>
        <v>2025-09</v>
      </c>
      <c r="C526" s="2" t="s">
        <v>178</v>
      </c>
      <c r="D526" s="6">
        <v>6.58</v>
      </c>
      <c r="E526" s="4" t="s">
        <v>84</v>
      </c>
      <c r="F526" s="7" t="str">
        <f t="array" ref="F526">IFERROR(
  INDEX(lookup_table!B:B,
        MATCH(TRUE,
              ISNUMBER(SEARCH(lookup_table!A:A,C526)),
        0)
  ),
"Uncategorized")
</f>
        <v>Transportation</v>
      </c>
      <c r="G526" s="1" t="s">
        <v>21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9">
        <v>45917.0</v>
      </c>
      <c r="B527" s="4" t="str">
        <f t="shared" si="1"/>
        <v>2025-09</v>
      </c>
      <c r="C527" s="2" t="s">
        <v>277</v>
      </c>
      <c r="D527" s="6">
        <v>29.87</v>
      </c>
      <c r="E527" s="4" t="s">
        <v>84</v>
      </c>
      <c r="F527" s="7" t="str">
        <f t="array" ref="F527">IFERROR(
  INDEX(lookup_table!B:B,
        MATCH(TRUE,
              ISNUMBER(SEARCH(lookup_table!A:A,C527)),
        0)
  ),
"Uncategorized")
</f>
        <v>Transportation</v>
      </c>
      <c r="G527" s="1" t="s">
        <v>21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8">
        <v>45918.0</v>
      </c>
      <c r="B528" s="4" t="str">
        <f t="shared" si="1"/>
        <v>2025-09</v>
      </c>
      <c r="C528" s="2" t="s">
        <v>72</v>
      </c>
      <c r="D528" s="6">
        <v>7.89</v>
      </c>
      <c r="E528" s="4" t="s">
        <v>17</v>
      </c>
      <c r="F528" s="7" t="str">
        <f t="array" ref="F528">IFERROR(
  INDEX(lookup_table!B:B,
        MATCH(TRUE,
              ISNUMBER(SEARCH(lookup_table!A:A,C528)),
        0)
  ),
"Uncategorized")
</f>
        <v>Dining Out</v>
      </c>
      <c r="G528" s="1" t="s">
        <v>13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9">
        <v>45920.0</v>
      </c>
      <c r="B529" s="4" t="str">
        <f t="shared" si="1"/>
        <v>2025-09</v>
      </c>
      <c r="C529" s="2" t="s">
        <v>39</v>
      </c>
      <c r="D529" s="6">
        <v>62.0</v>
      </c>
      <c r="E529" s="4" t="s">
        <v>15</v>
      </c>
      <c r="F529" s="7" t="str">
        <f t="array" ref="F529">IFERROR(
  INDEX(lookup_table!B:B,
        MATCH(TRUE,
              ISNUMBER(SEARCH(lookup_table!A:A,C529)),
        0)
  ),
"Uncategorized")
</f>
        <v>Groceries</v>
      </c>
      <c r="G529" s="1" t="s">
        <v>10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9">
        <v>45920.0</v>
      </c>
      <c r="B530" s="4" t="str">
        <f t="shared" si="1"/>
        <v>2025-09</v>
      </c>
      <c r="C530" s="2" t="s">
        <v>278</v>
      </c>
      <c r="D530" s="6">
        <v>109.98</v>
      </c>
      <c r="E530" s="4" t="s">
        <v>15</v>
      </c>
      <c r="F530" s="7" t="str">
        <f t="array" ref="F530">IFERROR(
  INDEX(lookup_table!B:B,
        MATCH(TRUE,
              ISNUMBER(SEARCH(lookup_table!A:A,C530)),
        0)
  ),
"Uncategorized")
</f>
        <v>Shopping</v>
      </c>
      <c r="G530" s="1" t="s">
        <v>10</v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8">
        <v>45920.0</v>
      </c>
      <c r="B531" s="4" t="str">
        <f t="shared" si="1"/>
        <v>2025-09</v>
      </c>
      <c r="C531" s="2" t="s">
        <v>279</v>
      </c>
      <c r="D531" s="6">
        <v>3.04</v>
      </c>
      <c r="E531" s="4" t="s">
        <v>17</v>
      </c>
      <c r="F531" s="7" t="str">
        <f t="array" ref="F531">IFERROR(
  INDEX(lookup_table!B:B,
        MATCH(TRUE,
              ISNUMBER(SEARCH(lookup_table!A:A,C531)),
        0)
  ),
"Uncategorized")
</f>
        <v>Travel</v>
      </c>
      <c r="G531" s="1" t="s">
        <v>13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9">
        <v>45922.0</v>
      </c>
      <c r="B532" s="4" t="str">
        <f t="shared" si="1"/>
        <v>2025-09</v>
      </c>
      <c r="C532" s="2" t="s">
        <v>11</v>
      </c>
      <c r="D532" s="6">
        <v>44.66</v>
      </c>
      <c r="E532" s="4" t="s">
        <v>167</v>
      </c>
      <c r="F532" s="7" t="str">
        <f t="array" ref="F532">IFERROR(
  INDEX(lookup_table!B:B,
        MATCH(TRUE,
              ISNUMBER(SEARCH(lookup_table!A:A,C532)),
        0)
  ),
"Uncategorized")
</f>
        <v>Transportation</v>
      </c>
      <c r="G532" s="1" t="s">
        <v>21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9">
        <v>45925.0</v>
      </c>
      <c r="B533" s="4" t="str">
        <f t="shared" si="1"/>
        <v>2025-09</v>
      </c>
      <c r="C533" s="2" t="s">
        <v>160</v>
      </c>
      <c r="D533" s="6">
        <v>35.0</v>
      </c>
      <c r="E533" s="4" t="s">
        <v>28</v>
      </c>
      <c r="F533" s="7" t="str">
        <f t="array" ref="F533">IFERROR(
  INDEX(lookup_table!B:B,
        MATCH(TRUE,
              ISNUMBER(SEARCH(lookup_table!A:A,C533)),
        0)
  ),
"Uncategorized")
</f>
        <v>Dining Out</v>
      </c>
      <c r="G533" s="1" t="s">
        <v>10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9">
        <v>45925.0</v>
      </c>
      <c r="B534" s="4" t="str">
        <f t="shared" si="1"/>
        <v>2025-09</v>
      </c>
      <c r="C534" s="2" t="s">
        <v>43</v>
      </c>
      <c r="D534" s="6">
        <v>4.74</v>
      </c>
      <c r="E534" s="4" t="s">
        <v>79</v>
      </c>
      <c r="F534" s="7" t="str">
        <f t="array" ref="F534">IFERROR(
  INDEX(lookup_table!B:B,
        MATCH(TRUE,
              ISNUMBER(SEARCH(lookup_table!A:A,C534)),
        0)
  ),
"Uncategorized")
</f>
        <v>Subscriptions</v>
      </c>
      <c r="G534" s="1" t="s">
        <v>10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9">
        <v>45927.0</v>
      </c>
      <c r="B535" s="4" t="str">
        <f t="shared" si="1"/>
        <v>2025-09</v>
      </c>
      <c r="C535" s="2" t="s">
        <v>280</v>
      </c>
      <c r="D535" s="6">
        <v>43.79</v>
      </c>
      <c r="E535" s="4" t="s">
        <v>35</v>
      </c>
      <c r="F535" s="7" t="str">
        <f t="array" ref="F535">IFERROR(
  INDEX(lookup_table!B:B,
        MATCH(TRUE,
              ISNUMBER(SEARCH(lookup_table!A:A,C535)),
        0)
  ),
"Uncategorized")
</f>
        <v>Dining Out</v>
      </c>
      <c r="G535" s="1" t="s">
        <v>21</v>
      </c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8">
        <v>45927.0</v>
      </c>
      <c r="B536" s="4" t="str">
        <f t="shared" si="1"/>
        <v>2025-09</v>
      </c>
      <c r="C536" s="2" t="s">
        <v>85</v>
      </c>
      <c r="D536" s="6">
        <v>18.66</v>
      </c>
      <c r="E536" s="4" t="s">
        <v>50</v>
      </c>
      <c r="F536" s="7" t="str">
        <f t="array" ref="F536">IFERROR(
  INDEX(lookup_table!B:B,
        MATCH(TRUE,
              ISNUMBER(SEARCH(lookup_table!A:A,C536)),
        0)
  ),
"Uncategorized")
</f>
        <v>Groceries</v>
      </c>
      <c r="G536" s="1" t="s">
        <v>13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9">
        <v>45927.0</v>
      </c>
      <c r="B537" s="4" t="str">
        <f t="shared" si="1"/>
        <v>2025-09</v>
      </c>
      <c r="C537" s="2" t="s">
        <v>164</v>
      </c>
      <c r="D537" s="6">
        <v>27.0</v>
      </c>
      <c r="E537" s="4" t="s">
        <v>167</v>
      </c>
      <c r="F537" s="7" t="str">
        <f t="array" ref="F537">IFERROR(
  INDEX(lookup_table!B:B,
        MATCH(TRUE,
              ISNUMBER(SEARCH(lookup_table!A:A,C537)),
        0)
  ),
"Uncategorized")
</f>
        <v>Shopping</v>
      </c>
      <c r="G537" s="1" t="s">
        <v>21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9">
        <v>45927.0</v>
      </c>
      <c r="B538" s="4" t="str">
        <f t="shared" si="1"/>
        <v>2025-09</v>
      </c>
      <c r="C538" s="2" t="s">
        <v>11</v>
      </c>
      <c r="D538" s="6">
        <v>9.98</v>
      </c>
      <c r="E538" s="4" t="s">
        <v>26</v>
      </c>
      <c r="F538" s="7" t="str">
        <f t="array" ref="F538">IFERROR(
  INDEX(lookup_table!B:B,
        MATCH(TRUE,
              ISNUMBER(SEARCH(lookup_table!A:A,C538)),
        0)
  ),
"Uncategorized")
</f>
        <v>Transportation</v>
      </c>
      <c r="G538" s="1" t="s">
        <v>10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9">
        <v>45927.0</v>
      </c>
      <c r="B539" s="4" t="str">
        <f t="shared" si="1"/>
        <v>2025-09</v>
      </c>
      <c r="C539" s="2" t="s">
        <v>210</v>
      </c>
      <c r="D539" s="6">
        <v>15.01</v>
      </c>
      <c r="E539" s="4" t="s">
        <v>9</v>
      </c>
      <c r="F539" s="7" t="str">
        <f t="array" ref="F539">IFERROR(
  INDEX(lookup_table!B:B,
        MATCH(TRUE,
              ISNUMBER(SEARCH(lookup_table!A:A,C539)),
        0)
  ),
"Uncategorized")
</f>
        <v>Transportation</v>
      </c>
      <c r="G539" s="1" t="s">
        <v>10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8">
        <v>45928.0</v>
      </c>
      <c r="B540" s="4" t="str">
        <f t="shared" si="1"/>
        <v>2025-09</v>
      </c>
      <c r="C540" s="2" t="s">
        <v>11</v>
      </c>
      <c r="D540" s="6">
        <v>3.68</v>
      </c>
      <c r="E540" s="4" t="s">
        <v>12</v>
      </c>
      <c r="F540" s="7" t="str">
        <f t="array" ref="F540">IFERROR(
  INDEX(lookup_table!B:B,
        MATCH(TRUE,
              ISNUMBER(SEARCH(lookup_table!A:A,C540)),
        0)
  ),
"Uncategorized")
</f>
        <v>Transportation</v>
      </c>
      <c r="G540" s="1" t="s">
        <v>13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8">
        <v>45928.0</v>
      </c>
      <c r="B541" s="4" t="str">
        <f t="shared" si="1"/>
        <v>2025-09</v>
      </c>
      <c r="C541" s="2" t="s">
        <v>11</v>
      </c>
      <c r="D541" s="6">
        <v>1.39</v>
      </c>
      <c r="E541" s="4" t="s">
        <v>12</v>
      </c>
      <c r="F541" s="7" t="str">
        <f t="array" ref="F541">IFERROR(
  INDEX(lookup_table!B:B,
        MATCH(TRUE,
              ISNUMBER(SEARCH(lookup_table!A:A,C541)),
        0)
  ),
"Uncategorized")
</f>
        <v>Transportation</v>
      </c>
      <c r="G541" s="1" t="s">
        <v>13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9">
        <v>45928.0</v>
      </c>
      <c r="B542" s="4" t="str">
        <f t="shared" si="1"/>
        <v>2025-09</v>
      </c>
      <c r="C542" s="2" t="s">
        <v>11</v>
      </c>
      <c r="D542" s="6">
        <v>12.87</v>
      </c>
      <c r="E542" s="4" t="s">
        <v>26</v>
      </c>
      <c r="F542" s="7" t="str">
        <f t="array" ref="F542">IFERROR(
  INDEX(lookup_table!B:B,
        MATCH(TRUE,
              ISNUMBER(SEARCH(lookup_table!A:A,C542)),
        0)
  ),
"Uncategorized")
</f>
        <v>Transportation</v>
      </c>
      <c r="G542" s="1" t="s">
        <v>10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9">
        <v>45929.0</v>
      </c>
      <c r="B543" s="4" t="str">
        <f t="shared" si="1"/>
        <v>2025-09</v>
      </c>
      <c r="C543" s="2" t="s">
        <v>48</v>
      </c>
      <c r="D543" s="6">
        <v>16.51</v>
      </c>
      <c r="E543" s="4" t="s">
        <v>23</v>
      </c>
      <c r="F543" s="7" t="str">
        <f t="array" ref="F543">IFERROR(
  INDEX(lookup_table!B:B,
        MATCH(TRUE,
              ISNUMBER(SEARCH(lookup_table!A:A,C543)),
        0)
  ),
"Uncategorized")
</f>
        <v>Groceries</v>
      </c>
      <c r="G543" s="1" t="s">
        <v>10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9">
        <v>45931.0</v>
      </c>
      <c r="B544" s="4" t="str">
        <f t="shared" si="1"/>
        <v>2025-10</v>
      </c>
      <c r="C544" s="2" t="s">
        <v>166</v>
      </c>
      <c r="D544" s="6">
        <v>155.0</v>
      </c>
      <c r="E544" s="4" t="s">
        <v>104</v>
      </c>
      <c r="F544" s="7" t="str">
        <f t="array" ref="F544">IFERROR(
  INDEX(lookup_table!B:B,
        MATCH(TRUE,
              ISNUMBER(SEARCH(lookup_table!A:A,C544)),
        0)
  ),
"Uncategorized")
</f>
        <v>Entertainment</v>
      </c>
      <c r="G544" s="1" t="s">
        <v>21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9">
        <v>45932.0</v>
      </c>
      <c r="B545" s="4" t="str">
        <f t="shared" si="1"/>
        <v>2025-10</v>
      </c>
      <c r="C545" s="2" t="s">
        <v>210</v>
      </c>
      <c r="D545" s="6">
        <v>15.46</v>
      </c>
      <c r="E545" s="4" t="s">
        <v>9</v>
      </c>
      <c r="F545" s="7" t="str">
        <f t="array" ref="F545">IFERROR(
  INDEX(lookup_table!B:B,
        MATCH(TRUE,
              ISNUMBER(SEARCH(lookup_table!A:A,C545)),
        0)
  ),
"Uncategorized")
</f>
        <v>Transportation</v>
      </c>
      <c r="G545" s="1" t="s">
        <v>10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8">
        <v>45933.0</v>
      </c>
      <c r="B546" s="4" t="str">
        <f t="shared" si="1"/>
        <v>2025-10</v>
      </c>
      <c r="C546" s="2" t="s">
        <v>153</v>
      </c>
      <c r="D546" s="6">
        <v>14.71</v>
      </c>
      <c r="E546" s="4" t="s">
        <v>50</v>
      </c>
      <c r="F546" s="7" t="str">
        <f t="array" ref="F546">IFERROR(
  INDEX(lookup_table!B:B,
        MATCH(TRUE,
              ISNUMBER(SEARCH(lookup_table!A:A,C546)),
        0)
  ),
"Uncategorized")
</f>
        <v>Groceries</v>
      </c>
      <c r="G546" s="1" t="s">
        <v>13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9">
        <v>45933.0</v>
      </c>
      <c r="B547" s="4" t="str">
        <f t="shared" si="1"/>
        <v>2025-10</v>
      </c>
      <c r="C547" s="2" t="s">
        <v>281</v>
      </c>
      <c r="D547" s="6">
        <v>5.32</v>
      </c>
      <c r="E547" s="4" t="s">
        <v>9</v>
      </c>
      <c r="F547" s="7" t="str">
        <f t="array" ref="F547">IFERROR(
  INDEX(lookup_table!B:B,
        MATCH(TRUE,
              ISNUMBER(SEARCH(lookup_table!A:A,C547)),
        0)
  ),
"Uncategorized")
</f>
        <v>Groceries</v>
      </c>
      <c r="G547" s="1" t="s">
        <v>21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8">
        <v>45936.0</v>
      </c>
      <c r="B548" s="4" t="str">
        <f t="shared" si="1"/>
        <v>2025-10</v>
      </c>
      <c r="C548" s="2" t="s">
        <v>31</v>
      </c>
      <c r="D548" s="6">
        <v>346.3</v>
      </c>
      <c r="E548" s="4" t="s">
        <v>32</v>
      </c>
      <c r="F548" s="7" t="str">
        <f t="array" ref="F548">IFERROR(
  INDEX(lookup_table!B:B,
        MATCH(TRUE,
              ISNUMBER(SEARCH(lookup_table!A:A,C548)),
        0)
  ),
"Uncategorized")
</f>
        <v>Bills</v>
      </c>
      <c r="G548" s="1" t="s">
        <v>13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8">
        <v>45936.0</v>
      </c>
      <c r="B549" s="4" t="str">
        <f t="shared" si="1"/>
        <v>2025-10</v>
      </c>
      <c r="C549" s="2" t="s">
        <v>14</v>
      </c>
      <c r="D549" s="6">
        <v>2.52</v>
      </c>
      <c r="E549" s="4" t="s">
        <v>15</v>
      </c>
      <c r="F549" s="7" t="str">
        <f t="array" ref="F549">IFERROR(
  INDEX(lookup_table!B:B,
        MATCH(TRUE,
              ISNUMBER(SEARCH(lookup_table!A:A,C549)),
        0)
  ),
"Uncategorized")
</f>
        <v>Groceries</v>
      </c>
      <c r="G549" s="1" t="s">
        <v>13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9">
        <v>45936.0</v>
      </c>
      <c r="B550" s="4" t="str">
        <f t="shared" si="1"/>
        <v>2025-10</v>
      </c>
      <c r="C550" s="2" t="s">
        <v>11</v>
      </c>
      <c r="D550" s="6">
        <v>44.65</v>
      </c>
      <c r="E550" s="4" t="s">
        <v>167</v>
      </c>
      <c r="F550" s="7" t="str">
        <f t="array" ref="F550">IFERROR(
  INDEX(lookup_table!B:B,
        MATCH(TRUE,
              ISNUMBER(SEARCH(lookup_table!A:A,C550)),
        0)
  ),
"Uncategorized")
</f>
        <v>Transportation</v>
      </c>
      <c r="G550" s="1" t="s">
        <v>21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8">
        <v>45937.0</v>
      </c>
      <c r="B551" s="4" t="str">
        <f t="shared" si="1"/>
        <v>2025-10</v>
      </c>
      <c r="C551" s="2" t="s">
        <v>29</v>
      </c>
      <c r="D551" s="6">
        <v>50.0</v>
      </c>
      <c r="E551" s="4" t="s">
        <v>30</v>
      </c>
      <c r="F551" s="7" t="str">
        <f t="array" ref="F551">IFERROR(
  INDEX(lookup_table!B:B,
        MATCH(TRUE,
              ISNUMBER(SEARCH(lookup_table!A:A,C551)),
        0)
  ),
"Uncategorized")
</f>
        <v>Bills</v>
      </c>
      <c r="G551" s="1" t="s">
        <v>13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8">
        <v>45937.0</v>
      </c>
      <c r="B552" s="4" t="str">
        <f t="shared" si="1"/>
        <v>2025-10</v>
      </c>
      <c r="C552" s="2" t="s">
        <v>212</v>
      </c>
      <c r="D552" s="6">
        <v>6.71</v>
      </c>
      <c r="E552" s="4" t="s">
        <v>17</v>
      </c>
      <c r="F552" s="7" t="str">
        <f t="array" ref="F552">IFERROR(
  INDEX(lookup_table!B:B,
        MATCH(TRUE,
              ISNUMBER(SEARCH(lookup_table!A:A,C552)),
        0)
  ),
"Uncategorized")
</f>
        <v>Dining Out</v>
      </c>
      <c r="G552" s="1" t="s">
        <v>13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9">
        <v>45940.0</v>
      </c>
      <c r="B553" s="4" t="str">
        <f t="shared" si="1"/>
        <v>2025-10</v>
      </c>
      <c r="C553" s="2" t="s">
        <v>282</v>
      </c>
      <c r="D553" s="6">
        <v>28.01</v>
      </c>
      <c r="E553" s="4" t="s">
        <v>9</v>
      </c>
      <c r="F553" s="7" t="str">
        <f t="array" ref="F553">IFERROR(
  INDEX(lookup_table!B:B,
        MATCH(TRUE,
              ISNUMBER(SEARCH(lookup_table!A:A,C553)),
        0)
  ),
"Uncategorized")
</f>
        <v>Dining Out</v>
      </c>
      <c r="G553" s="1" t="s">
        <v>10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9">
        <v>45941.0</v>
      </c>
      <c r="B554" s="4" t="str">
        <f t="shared" si="1"/>
        <v>2025-10</v>
      </c>
      <c r="C554" s="2" t="s">
        <v>283</v>
      </c>
      <c r="D554" s="6">
        <v>29.29</v>
      </c>
      <c r="E554" s="4" t="s">
        <v>9</v>
      </c>
      <c r="F554" s="7" t="str">
        <f t="array" ref="F554">IFERROR(
  INDEX(lookup_table!B:B,
        MATCH(TRUE,
              ISNUMBER(SEARCH(lookup_table!A:A,C554)),
        0)
  ),
"Uncategorized")
</f>
        <v>Dining Out</v>
      </c>
      <c r="G554" s="1" t="s">
        <v>10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9">
        <v>45941.0</v>
      </c>
      <c r="B555" s="4" t="str">
        <f t="shared" si="1"/>
        <v>2025-10</v>
      </c>
      <c r="C555" s="2" t="s">
        <v>284</v>
      </c>
      <c r="D555" s="6">
        <v>75.68</v>
      </c>
      <c r="E555" s="4" t="s">
        <v>28</v>
      </c>
      <c r="F555" s="7" t="str">
        <f t="array" ref="F555">IFERROR(
  INDEX(lookup_table!B:B,
        MATCH(TRUE,
              ISNUMBER(SEARCH(lookup_table!A:A,C555)),
        0)
  ),
"Uncategorized")
</f>
        <v>Transportation</v>
      </c>
      <c r="G555" s="1" t="s">
        <v>10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9">
        <v>45942.0</v>
      </c>
      <c r="B556" s="4" t="str">
        <f t="shared" si="1"/>
        <v>2025-10</v>
      </c>
      <c r="C556" s="2" t="s">
        <v>71</v>
      </c>
      <c r="D556" s="6">
        <v>8.43</v>
      </c>
      <c r="E556" s="4" t="s">
        <v>84</v>
      </c>
      <c r="F556" s="7" t="str">
        <f t="array" ref="F556">IFERROR(
  INDEX(lookup_table!B:B,
        MATCH(TRUE,
              ISNUMBER(SEARCH(lookup_table!A:A,C556)),
        0)
  ),
"Uncategorized")
</f>
        <v>Entertainment</v>
      </c>
      <c r="G556" s="1" t="s">
        <v>21</v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9">
        <v>45942.0</v>
      </c>
      <c r="B557" s="4" t="str">
        <f t="shared" si="1"/>
        <v>2025-10</v>
      </c>
      <c r="C557" s="2" t="s">
        <v>285</v>
      </c>
      <c r="D557" s="6">
        <v>21.8</v>
      </c>
      <c r="E557" s="4" t="s">
        <v>9</v>
      </c>
      <c r="F557" s="7" t="str">
        <f t="array" ref="F557">IFERROR(
  INDEX(lookup_table!B:B,
        MATCH(TRUE,
              ISNUMBER(SEARCH(lookup_table!A:A,C557)),
        0)
  ),
"Uncategorized")
</f>
        <v>Travel</v>
      </c>
      <c r="G557" s="1" t="s">
        <v>21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9">
        <v>45943.0</v>
      </c>
      <c r="B558" s="4" t="str">
        <f t="shared" si="1"/>
        <v>2025-10</v>
      </c>
      <c r="C558" s="2" t="s">
        <v>286</v>
      </c>
      <c r="D558" s="6">
        <v>9.5</v>
      </c>
      <c r="E558" s="4" t="s">
        <v>23</v>
      </c>
      <c r="F558" s="7" t="str">
        <f t="array" ref="F558">IFERROR(
  INDEX(lookup_table!B:B,
        MATCH(TRUE,
              ISNUMBER(SEARCH(lookup_table!A:A,C558)),
        0)
  ),
"Uncategorized")
</f>
        <v>Groceries</v>
      </c>
      <c r="G558" s="1" t="s">
        <v>10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9">
        <v>45943.0</v>
      </c>
      <c r="B559" s="4" t="str">
        <f t="shared" si="1"/>
        <v>2025-10</v>
      </c>
      <c r="C559" s="2" t="s">
        <v>287</v>
      </c>
      <c r="D559" s="6">
        <v>44.27</v>
      </c>
      <c r="E559" s="4" t="s">
        <v>28</v>
      </c>
      <c r="F559" s="7" t="str">
        <f t="array" ref="F559">IFERROR(
  INDEX(lookup_table!B:B,
        MATCH(TRUE,
              ISNUMBER(SEARCH(lookup_table!A:A,C559)),
        0)
  ),
"Uncategorized")
</f>
        <v>Shopping</v>
      </c>
      <c r="G559" s="1" t="s">
        <v>10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9">
        <v>45943.0</v>
      </c>
      <c r="B560" s="4" t="str">
        <f t="shared" si="1"/>
        <v>2025-10</v>
      </c>
      <c r="C560" s="2" t="s">
        <v>68</v>
      </c>
      <c r="D560" s="6">
        <v>50.62</v>
      </c>
      <c r="E560" s="4" t="s">
        <v>28</v>
      </c>
      <c r="F560" s="7" t="str">
        <f t="array" ref="F560">IFERROR(
  INDEX(lookup_table!B:B,
        MATCH(TRUE,
              ISNUMBER(SEARCH(lookup_table!A:A,C560)),
        0)
  ),
"Uncategorized")
</f>
        <v>Shopping</v>
      </c>
      <c r="G560" s="1" t="s">
        <v>10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9">
        <v>45943.0</v>
      </c>
      <c r="B561" s="4" t="str">
        <f t="shared" si="1"/>
        <v>2025-10</v>
      </c>
      <c r="C561" s="2" t="s">
        <v>170</v>
      </c>
      <c r="D561" s="6">
        <v>15.77</v>
      </c>
      <c r="E561" s="4" t="s">
        <v>28</v>
      </c>
      <c r="F561" s="7" t="str">
        <f t="array" ref="F561">IFERROR(
  INDEX(lookup_table!B:B,
        MATCH(TRUE,
              ISNUMBER(SEARCH(lookup_table!A:A,C561)),
        0)
  ),
"Uncategorized")
</f>
        <v>Subscriptions</v>
      </c>
      <c r="G561" s="1" t="s">
        <v>10</v>
      </c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9">
        <v>45944.0</v>
      </c>
      <c r="B562" s="4" t="str">
        <f t="shared" si="1"/>
        <v>2025-10</v>
      </c>
      <c r="C562" s="2" t="s">
        <v>172</v>
      </c>
      <c r="D562" s="6">
        <v>10.77</v>
      </c>
      <c r="E562" s="4" t="s">
        <v>28</v>
      </c>
      <c r="F562" s="7" t="str">
        <f t="array" ref="F562">IFERROR(
  INDEX(lookup_table!B:B,
        MATCH(TRUE,
              ISNUMBER(SEARCH(lookup_table!A:A,C562)),
        0)
  ),
"Uncategorized")
</f>
        <v>Shopping</v>
      </c>
      <c r="G562" s="1" t="s">
        <v>10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9">
        <v>45945.0</v>
      </c>
      <c r="B563" s="4" t="str">
        <f t="shared" si="1"/>
        <v>2025-10</v>
      </c>
      <c r="C563" s="2" t="s">
        <v>153</v>
      </c>
      <c r="D563" s="6">
        <v>15.66</v>
      </c>
      <c r="E563" s="4" t="s">
        <v>25</v>
      </c>
      <c r="F563" s="7" t="str">
        <f t="array" ref="F563">IFERROR(
  INDEX(lookup_table!B:B,
        MATCH(TRUE,
              ISNUMBER(SEARCH(lookup_table!A:A,C563)),
        0)
  ),
"Uncategorized")
</f>
        <v>Groceries</v>
      </c>
      <c r="G563" s="1" t="s">
        <v>21</v>
      </c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9">
        <v>45946.0</v>
      </c>
      <c r="B564" s="4" t="str">
        <f t="shared" si="1"/>
        <v>2025-10</v>
      </c>
      <c r="C564" s="2" t="s">
        <v>288</v>
      </c>
      <c r="D564" s="6">
        <v>11.73</v>
      </c>
      <c r="E564" s="4" t="s">
        <v>9</v>
      </c>
      <c r="F564" s="7" t="str">
        <f t="array" ref="F564">IFERROR(
  INDEX(lookup_table!B:B,
        MATCH(TRUE,
              ISNUMBER(SEARCH(lookup_table!A:A,C564)),
        0)
  ),
"Uncategorized")
</f>
        <v>Dining Out</v>
      </c>
      <c r="G564" s="1" t="s">
        <v>10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8">
        <v>45947.0</v>
      </c>
      <c r="B565" s="4" t="str">
        <f t="shared" si="1"/>
        <v>2025-10</v>
      </c>
      <c r="C565" s="2" t="s">
        <v>289</v>
      </c>
      <c r="D565" s="6">
        <v>9.32</v>
      </c>
      <c r="E565" s="4" t="s">
        <v>17</v>
      </c>
      <c r="F565" s="7" t="str">
        <f t="array" ref="F565">IFERROR(
  INDEX(lookup_table!B:B,
        MATCH(TRUE,
              ISNUMBER(SEARCH(lookup_table!A:A,C565)),
        0)
  ),
"Uncategorized")
</f>
        <v>Dining Out</v>
      </c>
      <c r="G565" s="1" t="s">
        <v>13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9">
        <v>45947.0</v>
      </c>
      <c r="B566" s="4" t="str">
        <f t="shared" si="1"/>
        <v>2025-10</v>
      </c>
      <c r="C566" s="2" t="s">
        <v>11</v>
      </c>
      <c r="D566" s="6">
        <v>42.7</v>
      </c>
      <c r="E566" s="4" t="s">
        <v>167</v>
      </c>
      <c r="F566" s="7" t="str">
        <f t="array" ref="F566">IFERROR(
  INDEX(lookup_table!B:B,
        MATCH(TRUE,
              ISNUMBER(SEARCH(lookup_table!A:A,C566)),
        0)
  ),
"Uncategorized")
</f>
        <v>Transportation</v>
      </c>
      <c r="G566" s="1" t="s">
        <v>21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9">
        <v>45948.0</v>
      </c>
      <c r="B567" s="4" t="str">
        <f t="shared" si="1"/>
        <v>2025-10</v>
      </c>
      <c r="C567" s="2" t="s">
        <v>290</v>
      </c>
      <c r="D567" s="6">
        <v>11.74</v>
      </c>
      <c r="E567" s="4" t="s">
        <v>9</v>
      </c>
      <c r="F567" s="7" t="str">
        <f t="array" ref="F567">IFERROR(
  INDEX(lookup_table!B:B,
        MATCH(TRUE,
              ISNUMBER(SEARCH(lookup_table!A:A,C567)),
        0)
  ),
"Uncategorized")
</f>
        <v>Dining Out</v>
      </c>
      <c r="G567" s="1" t="s">
        <v>10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9">
        <v>45949.0</v>
      </c>
      <c r="B568" s="4" t="str">
        <f t="shared" si="1"/>
        <v>2025-10</v>
      </c>
      <c r="C568" s="2" t="s">
        <v>291</v>
      </c>
      <c r="D568" s="6">
        <v>7.39</v>
      </c>
      <c r="E568" s="4" t="s">
        <v>28</v>
      </c>
      <c r="F568" s="7" t="str">
        <f t="array" ref="F568">IFERROR(
  INDEX(lookup_table!B:B,
        MATCH(TRUE,
              ISNUMBER(SEARCH(lookup_table!A:A,C568)),
        0)
  ),
"Uncategorized")
</f>
        <v>Shopping</v>
      </c>
      <c r="G568" s="1" t="s">
        <v>10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8">
        <v>45951.0</v>
      </c>
      <c r="B569" s="4" t="str">
        <f t="shared" si="1"/>
        <v>2025-10</v>
      </c>
      <c r="C569" s="2" t="s">
        <v>292</v>
      </c>
      <c r="D569" s="6">
        <v>4.73</v>
      </c>
      <c r="E569" s="4" t="s">
        <v>17</v>
      </c>
      <c r="F569" s="7" t="str">
        <f t="array" ref="F569">IFERROR(
  INDEX(lookup_table!B:B,
        MATCH(TRUE,
              ISNUMBER(SEARCH(lookup_table!A:A,C569)),
        0)
  ),
"Uncategorized")
</f>
        <v>Dining Out</v>
      </c>
      <c r="G569" s="1" t="s">
        <v>13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9">
        <v>45954.0</v>
      </c>
      <c r="B570" s="4" t="str">
        <f t="shared" si="1"/>
        <v>2025-10</v>
      </c>
      <c r="C570" s="2" t="s">
        <v>293</v>
      </c>
      <c r="D570" s="6">
        <v>10.02</v>
      </c>
      <c r="E570" s="4" t="s">
        <v>28</v>
      </c>
      <c r="F570" s="7" t="str">
        <f t="array" ref="F570">IFERROR(
  INDEX(lookup_table!B:B,
        MATCH(TRUE,
              ISNUMBER(SEARCH(lookup_table!A:A,C570)),
        0)
  ),
"Uncategorized")
</f>
        <v>Dining Out</v>
      </c>
      <c r="G570" s="1" t="s">
        <v>10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9">
        <v>45954.0</v>
      </c>
      <c r="B571" s="4" t="str">
        <f t="shared" si="1"/>
        <v>2025-10</v>
      </c>
      <c r="C571" s="2" t="s">
        <v>286</v>
      </c>
      <c r="D571" s="6">
        <v>12.64</v>
      </c>
      <c r="E571" s="4" t="s">
        <v>23</v>
      </c>
      <c r="F571" s="7" t="str">
        <f t="array" ref="F571">IFERROR(
  INDEX(lookup_table!B:B,
        MATCH(TRUE,
              ISNUMBER(SEARCH(lookup_table!A:A,C571)),
        0)
  ),
"Uncategorized")
</f>
        <v>Groceries</v>
      </c>
      <c r="G571" s="1" t="s">
        <v>10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8">
        <v>45954.0</v>
      </c>
      <c r="B572" s="4" t="str">
        <f t="shared" si="1"/>
        <v>2025-10</v>
      </c>
      <c r="C572" s="2" t="s">
        <v>11</v>
      </c>
      <c r="D572" s="6">
        <v>1.98</v>
      </c>
      <c r="E572" s="4" t="s">
        <v>12</v>
      </c>
      <c r="F572" s="7" t="str">
        <f t="array" ref="F572">IFERROR(
  INDEX(lookup_table!B:B,
        MATCH(TRUE,
              ISNUMBER(SEARCH(lookup_table!A:A,C572)),
        0)
  ),
"Uncategorized")
</f>
        <v>Transportation</v>
      </c>
      <c r="G572" s="1" t="s">
        <v>13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9">
        <v>45954.0</v>
      </c>
      <c r="B573" s="4" t="str">
        <f t="shared" si="1"/>
        <v>2025-10</v>
      </c>
      <c r="C573" s="2" t="s">
        <v>285</v>
      </c>
      <c r="D573" s="6">
        <v>10.43</v>
      </c>
      <c r="E573" s="4" t="s">
        <v>9</v>
      </c>
      <c r="F573" s="7" t="str">
        <f t="array" ref="F573">IFERROR(
  INDEX(lookup_table!B:B,
        MATCH(TRUE,
              ISNUMBER(SEARCH(lookup_table!A:A,C573)),
        0)
  ),
"Uncategorized")
</f>
        <v>Travel</v>
      </c>
      <c r="G573" s="1" t="s">
        <v>21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9">
        <v>45955.0</v>
      </c>
      <c r="B574" s="4" t="str">
        <f t="shared" si="1"/>
        <v>2025-10</v>
      </c>
      <c r="C574" s="2" t="s">
        <v>290</v>
      </c>
      <c r="D574" s="6">
        <v>11.82</v>
      </c>
      <c r="E574" s="4" t="s">
        <v>9</v>
      </c>
      <c r="F574" s="7" t="str">
        <f t="array" ref="F574">IFERROR(
  INDEX(lookup_table!B:B,
        MATCH(TRUE,
              ISNUMBER(SEARCH(lookup_table!A:A,C574)),
        0)
  ),
"Uncategorized")
</f>
        <v>Dining Out</v>
      </c>
      <c r="G574" s="1" t="s">
        <v>10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8">
        <v>45955.0</v>
      </c>
      <c r="B575" s="4" t="str">
        <f t="shared" si="1"/>
        <v>2025-10</v>
      </c>
      <c r="C575" s="2" t="s">
        <v>294</v>
      </c>
      <c r="D575" s="6">
        <v>18.03</v>
      </c>
      <c r="E575" s="4" t="s">
        <v>87</v>
      </c>
      <c r="F575" s="7" t="str">
        <f t="array" ref="F575">IFERROR(
  INDEX(lookup_table!B:B,
        MATCH(TRUE,
              ISNUMBER(SEARCH(lookup_table!A:A,C575)),
        0)
  ),
"Uncategorized")
</f>
        <v>Dining Out</v>
      </c>
      <c r="G575" s="1" t="s">
        <v>13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9">
        <v>45955.0</v>
      </c>
      <c r="B576" s="4" t="str">
        <f t="shared" si="1"/>
        <v>2025-10</v>
      </c>
      <c r="C576" s="2" t="s">
        <v>226</v>
      </c>
      <c r="D576" s="6">
        <v>12.02</v>
      </c>
      <c r="E576" s="4" t="s">
        <v>28</v>
      </c>
      <c r="F576" s="7" t="str">
        <f t="array" ref="F576">IFERROR(
  INDEX(lookup_table!B:B,
        MATCH(TRUE,
              ISNUMBER(SEARCH(lookup_table!A:A,C576)),
        0)
  ),
"Uncategorized")
</f>
        <v>Entertainment</v>
      </c>
      <c r="G576" s="1" t="s">
        <v>10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9">
        <v>45955.0</v>
      </c>
      <c r="B577" s="4" t="str">
        <f t="shared" si="1"/>
        <v>2025-10</v>
      </c>
      <c r="C577" s="2" t="s">
        <v>43</v>
      </c>
      <c r="D577" s="6">
        <v>4.74</v>
      </c>
      <c r="E577" s="4" t="s">
        <v>79</v>
      </c>
      <c r="F577" s="7" t="str">
        <f t="array" ref="F577">IFERROR(
  INDEX(lookup_table!B:B,
        MATCH(TRUE,
              ISNUMBER(SEARCH(lookup_table!A:A,C577)),
        0)
  ),
"Uncategorized")
</f>
        <v>Subscriptions</v>
      </c>
      <c r="G577" s="1" t="s">
        <v>10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9">
        <v>45957.0</v>
      </c>
      <c r="B578" s="4" t="str">
        <f t="shared" si="1"/>
        <v>2025-10</v>
      </c>
      <c r="C578" s="2" t="s">
        <v>27</v>
      </c>
      <c r="D578" s="6">
        <v>16.33</v>
      </c>
      <c r="E578" s="4" t="s">
        <v>28</v>
      </c>
      <c r="F578" s="7" t="str">
        <f t="array" ref="F578">IFERROR(
  INDEX(lookup_table!B:B,
        MATCH(TRUE,
              ISNUMBER(SEARCH(lookup_table!A:A,C578)),
        0)
  ),
"Uncategorized")
</f>
        <v>Shopping</v>
      </c>
      <c r="G578" s="1" t="s">
        <v>10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9">
        <v>45957.0</v>
      </c>
      <c r="B579" s="4" t="str">
        <f t="shared" si="1"/>
        <v>2025-10</v>
      </c>
      <c r="C579" s="2" t="s">
        <v>192</v>
      </c>
      <c r="D579" s="6">
        <v>44.16</v>
      </c>
      <c r="E579" s="4" t="s">
        <v>26</v>
      </c>
      <c r="F579" s="7" t="str">
        <f t="array" ref="F579">IFERROR(
  INDEX(lookup_table!B:B,
        MATCH(TRUE,
              ISNUMBER(SEARCH(lookup_table!A:A,C579)),
        0)
  ),
"Uncategorized")
</f>
        <v>Shopping</v>
      </c>
      <c r="G579" s="1" t="s">
        <v>10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9">
        <v>45958.0</v>
      </c>
      <c r="B580" s="4" t="str">
        <f t="shared" si="1"/>
        <v>2025-10</v>
      </c>
      <c r="C580" s="2" t="s">
        <v>255</v>
      </c>
      <c r="D580" s="6">
        <v>68.47</v>
      </c>
      <c r="E580" s="4" t="s">
        <v>25</v>
      </c>
      <c r="F580" s="7" t="str">
        <f t="array" ref="F580">IFERROR(
  INDEX(lookup_table!B:B,
        MATCH(TRUE,
              ISNUMBER(SEARCH(lookup_table!A:A,C580)),
        0)
  ),
"Uncategorized")
</f>
        <v>Dining Out</v>
      </c>
      <c r="G580" s="1" t="s">
        <v>21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9">
        <v>45958.0</v>
      </c>
      <c r="B581" s="4" t="str">
        <f t="shared" si="1"/>
        <v>2025-10</v>
      </c>
      <c r="C581" s="2" t="s">
        <v>92</v>
      </c>
      <c r="D581" s="6">
        <v>60.18</v>
      </c>
      <c r="E581" s="4" t="s">
        <v>35</v>
      </c>
      <c r="F581" s="7" t="str">
        <f t="array" ref="F581">IFERROR(
  INDEX(lookup_table!B:B,
        MATCH(TRUE,
              ISNUMBER(SEARCH(lookup_table!A:A,C581)),
        0)
  ),
"Uncategorized")
</f>
        <v>Groceries</v>
      </c>
      <c r="G581" s="1" t="s">
        <v>21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9">
        <v>45958.0</v>
      </c>
      <c r="B582" s="4" t="str">
        <f t="shared" si="1"/>
        <v>2025-10</v>
      </c>
      <c r="C582" s="2" t="s">
        <v>24</v>
      </c>
      <c r="D582" s="6">
        <v>10.54</v>
      </c>
      <c r="E582" s="4" t="s">
        <v>25</v>
      </c>
      <c r="F582" s="7" t="str">
        <f t="array" ref="F582">IFERROR(
  INDEX(lookup_table!B:B,
        MATCH(TRUE,
              ISNUMBER(SEARCH(lookup_table!A:A,C582)),
        0)
  ),
"Uncategorized")
</f>
        <v>Shopping</v>
      </c>
      <c r="G582" s="1" t="s">
        <v>21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9">
        <v>45958.0</v>
      </c>
      <c r="B583" s="4" t="str">
        <f t="shared" si="1"/>
        <v>2025-10</v>
      </c>
      <c r="C583" s="2" t="s">
        <v>27</v>
      </c>
      <c r="D583" s="6">
        <v>64.49</v>
      </c>
      <c r="E583" s="4" t="s">
        <v>28</v>
      </c>
      <c r="F583" s="7" t="str">
        <f t="array" ref="F583">IFERROR(
  INDEX(lookup_table!B:B,
        MATCH(TRUE,
              ISNUMBER(SEARCH(lookup_table!A:A,C583)),
        0)
  ),
"Uncategorized")
</f>
        <v>Shopping</v>
      </c>
      <c r="G583" s="1" t="s">
        <v>10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9">
        <v>45958.0</v>
      </c>
      <c r="B584" s="4" t="str">
        <f t="shared" si="1"/>
        <v>2025-10</v>
      </c>
      <c r="C584" s="2" t="s">
        <v>27</v>
      </c>
      <c r="D584" s="6">
        <v>6.72</v>
      </c>
      <c r="E584" s="4" t="s">
        <v>28</v>
      </c>
      <c r="F584" s="7" t="str">
        <f t="array" ref="F584">IFERROR(
  INDEX(lookup_table!B:B,
        MATCH(TRUE,
              ISNUMBER(SEARCH(lookup_table!A:A,C584)),
        0)
  ),
"Uncategorized")
</f>
        <v>Shopping</v>
      </c>
      <c r="G584" s="1" t="s">
        <v>10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8">
        <v>45958.0</v>
      </c>
      <c r="B585" s="4" t="str">
        <f t="shared" si="1"/>
        <v>2025-10</v>
      </c>
      <c r="C585" s="2" t="s">
        <v>201</v>
      </c>
      <c r="D585" s="6">
        <v>6.32</v>
      </c>
      <c r="E585" s="4" t="s">
        <v>295</v>
      </c>
      <c r="F585" s="7" t="str">
        <f t="array" ref="F585">IFERROR(
  INDEX(lookup_table!B:B,
        MATCH(TRUE,
              ISNUMBER(SEARCH(lookup_table!A:A,C585)),
        0)
  ),
"Uncategorized")
</f>
        <v>Shopping</v>
      </c>
      <c r="G585" s="1" t="s">
        <v>13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9">
        <v>45959.0</v>
      </c>
      <c r="B586" s="4" t="str">
        <f t="shared" si="1"/>
        <v>2025-10</v>
      </c>
      <c r="C586" s="2" t="s">
        <v>296</v>
      </c>
      <c r="D586" s="6">
        <v>30.25</v>
      </c>
      <c r="E586" s="4" t="s">
        <v>9</v>
      </c>
      <c r="F586" s="7" t="str">
        <f t="array" ref="F586">IFERROR(
  INDEX(lookup_table!B:B,
        MATCH(TRUE,
              ISNUMBER(SEARCH(lookup_table!A:A,C586)),
        0)
  ),
"Uncategorized")
</f>
        <v>Dining Out</v>
      </c>
      <c r="G586" s="1" t="s">
        <v>10</v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8">
        <v>45959.0</v>
      </c>
      <c r="B587" s="4" t="str">
        <f t="shared" si="1"/>
        <v>2025-10</v>
      </c>
      <c r="C587" s="2" t="s">
        <v>153</v>
      </c>
      <c r="D587" s="6">
        <v>9.71</v>
      </c>
      <c r="E587" s="4" t="s">
        <v>50</v>
      </c>
      <c r="F587" s="7" t="str">
        <f t="array" ref="F587">IFERROR(
  INDEX(lookup_table!B:B,
        MATCH(TRUE,
              ISNUMBER(SEARCH(lookup_table!A:A,C587)),
        0)
  ),
"Uncategorized")
</f>
        <v>Groceries</v>
      </c>
      <c r="G587" s="1" t="s">
        <v>13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9">
        <v>45960.0</v>
      </c>
      <c r="B588" s="4" t="str">
        <f t="shared" si="1"/>
        <v>2025-10</v>
      </c>
      <c r="C588" s="2" t="s">
        <v>113</v>
      </c>
      <c r="D588" s="6">
        <v>9.48</v>
      </c>
      <c r="E588" s="4" t="s">
        <v>28</v>
      </c>
      <c r="F588" s="7" t="str">
        <f t="array" ref="F588">IFERROR(
  INDEX(lookup_table!B:B,
        MATCH(TRUE,
              ISNUMBER(SEARCH(lookup_table!A:A,C588)),
        0)
  ),
"Uncategorized")
</f>
        <v>Subscriptions</v>
      </c>
      <c r="G588" s="1" t="s">
        <v>10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9">
        <v>45961.0</v>
      </c>
      <c r="B589" s="4" t="str">
        <f t="shared" si="1"/>
        <v>2025-10</v>
      </c>
      <c r="C589" s="2" t="s">
        <v>297</v>
      </c>
      <c r="D589" s="6">
        <v>27.67</v>
      </c>
      <c r="E589" s="4" t="s">
        <v>9</v>
      </c>
      <c r="F589" s="7" t="str">
        <f t="array" ref="F589">IFERROR(
  INDEX(lookup_table!B:B,
        MATCH(TRUE,
              ISNUMBER(SEARCH(lookup_table!A:A,C589)),
        0)
  ),
"Uncategorized")
</f>
        <v>Dining Out</v>
      </c>
      <c r="G589" s="1" t="s">
        <v>10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9">
        <v>45961.0</v>
      </c>
      <c r="B590" s="4" t="str">
        <f t="shared" si="1"/>
        <v>2025-10</v>
      </c>
      <c r="C590" s="2" t="s">
        <v>297</v>
      </c>
      <c r="D590" s="6">
        <v>29.42</v>
      </c>
      <c r="E590" s="4" t="s">
        <v>9</v>
      </c>
      <c r="F590" s="7" t="str">
        <f t="array" ref="F590">IFERROR(
  INDEX(lookup_table!B:B,
        MATCH(TRUE,
              ISNUMBER(SEARCH(lookup_table!A:A,C590)),
        0)
  ),
"Uncategorized")
</f>
        <v>Dining Out</v>
      </c>
      <c r="G590" s="1" t="s">
        <v>10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9">
        <v>45961.0</v>
      </c>
      <c r="B591" s="4" t="str">
        <f t="shared" si="1"/>
        <v>2025-10</v>
      </c>
      <c r="C591" s="2" t="s">
        <v>153</v>
      </c>
      <c r="D591" s="6">
        <v>25.11</v>
      </c>
      <c r="E591" s="4" t="s">
        <v>25</v>
      </c>
      <c r="F591" s="7" t="str">
        <f t="array" ref="F591">IFERROR(
  INDEX(lookup_table!B:B,
        MATCH(TRUE,
              ISNUMBER(SEARCH(lookup_table!A:A,C591)),
        0)
  ),
"Uncategorized")
</f>
        <v>Groceries</v>
      </c>
      <c r="G591" s="1" t="s">
        <v>21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9">
        <v>45961.0</v>
      </c>
      <c r="B592" s="4" t="str">
        <f t="shared" si="1"/>
        <v>2025-10</v>
      </c>
      <c r="C592" s="2" t="s">
        <v>24</v>
      </c>
      <c r="D592" s="6">
        <v>16.87</v>
      </c>
      <c r="E592" s="4" t="s">
        <v>25</v>
      </c>
      <c r="F592" s="7" t="str">
        <f t="array" ref="F592">IFERROR(
  INDEX(lookup_table!B:B,
        MATCH(TRUE,
              ISNUMBER(SEARCH(lookup_table!A:A,C592)),
        0)
  ),
"Uncategorized")
</f>
        <v>Shopping</v>
      </c>
      <c r="G592" s="1" t="s">
        <v>21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9">
        <v>45962.0</v>
      </c>
      <c r="B593" s="4" t="str">
        <f t="shared" si="1"/>
        <v>2025-11</v>
      </c>
      <c r="C593" s="2" t="s">
        <v>11</v>
      </c>
      <c r="D593" s="6">
        <v>3.47</v>
      </c>
      <c r="E593" s="4" t="s">
        <v>26</v>
      </c>
      <c r="F593" s="7" t="str">
        <f t="array" ref="F593">IFERROR(
  INDEX(lookup_table!B:B,
        MATCH(TRUE,
              ISNUMBER(SEARCH(lookup_table!A:A,C593)),
        0)
  ),
"Uncategorized")
</f>
        <v>Transportation</v>
      </c>
      <c r="G593" s="1" t="s">
        <v>10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9">
        <v>45963.0</v>
      </c>
      <c r="B594" s="4" t="str">
        <f t="shared" si="1"/>
        <v>2025-11</v>
      </c>
      <c r="C594" s="2" t="s">
        <v>22</v>
      </c>
      <c r="D594" s="6">
        <v>14.48</v>
      </c>
      <c r="E594" s="4" t="s">
        <v>9</v>
      </c>
      <c r="F594" s="7" t="str">
        <f t="array" ref="F594">IFERROR(
  INDEX(lookup_table!B:B,
        MATCH(TRUE,
              ISNUMBER(SEARCH(lookup_table!A:A,C594)),
        0)
  ),
"Uncategorized")
</f>
        <v>Groceries</v>
      </c>
      <c r="G594" s="1" t="s">
        <v>21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8">
        <v>45965.0</v>
      </c>
      <c r="B595" s="4" t="str">
        <f t="shared" si="1"/>
        <v>2025-11</v>
      </c>
      <c r="C595" s="2" t="s">
        <v>292</v>
      </c>
      <c r="D595" s="6">
        <v>0.13</v>
      </c>
      <c r="E595" s="4" t="s">
        <v>298</v>
      </c>
      <c r="F595" s="7" t="str">
        <f t="array" ref="F595">IFERROR(
  INDEX(lookup_table!B:B,
        MATCH(TRUE,
              ISNUMBER(SEARCH(lookup_table!A:A,C595)),
        0)
  ),
"Uncategorized")
</f>
        <v>Dining Out</v>
      </c>
      <c r="G595" s="1" t="s">
        <v>13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8">
        <v>45965.0</v>
      </c>
      <c r="B596" s="4" t="str">
        <f t="shared" si="1"/>
        <v>2025-11</v>
      </c>
      <c r="C596" s="2" t="s">
        <v>86</v>
      </c>
      <c r="D596" s="6">
        <v>66.33</v>
      </c>
      <c r="E596" s="4" t="s">
        <v>185</v>
      </c>
      <c r="F596" s="7" t="str">
        <f t="array" ref="F596">IFERROR(
  INDEX(lookup_table!B:B,
        MATCH(TRUE,
              ISNUMBER(SEARCH(lookup_table!A:A,C596)),
        0)
  ),
"Uncategorized")
</f>
        <v>Withdrawal</v>
      </c>
      <c r="G596" s="1" t="s">
        <v>13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9">
        <v>45966.0</v>
      </c>
      <c r="B597" s="4" t="str">
        <f t="shared" si="1"/>
        <v>2025-11</v>
      </c>
      <c r="C597" s="2" t="s">
        <v>82</v>
      </c>
      <c r="D597" s="6">
        <v>32.69</v>
      </c>
      <c r="E597" s="4" t="s">
        <v>63</v>
      </c>
      <c r="F597" s="7" t="str">
        <f t="array" ref="F597">IFERROR(
  INDEX(lookup_table!B:B,
        MATCH(TRUE,
              ISNUMBER(SEARCH(lookup_table!A:A,C597)),
        0)
  ),
"Uncategorized")
</f>
        <v>Dining Out</v>
      </c>
      <c r="G597" s="1" t="s">
        <v>10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9">
        <v>45966.0</v>
      </c>
      <c r="B598" s="4" t="str">
        <f t="shared" si="1"/>
        <v>2025-11</v>
      </c>
      <c r="C598" s="2" t="s">
        <v>299</v>
      </c>
      <c r="D598" s="6">
        <v>84.8</v>
      </c>
      <c r="E598" s="4" t="s">
        <v>15</v>
      </c>
      <c r="F598" s="7" t="str">
        <f t="array" ref="F598">IFERROR(
  INDEX(lookup_table!B:B,
        MATCH(TRUE,
              ISNUMBER(SEARCH(lookup_table!A:A,C598)),
        0)
  ),
"Uncategorized")
</f>
        <v>Shopping</v>
      </c>
      <c r="G598" s="1" t="s">
        <v>10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8">
        <v>45967.0</v>
      </c>
      <c r="B599" s="4" t="str">
        <f t="shared" si="1"/>
        <v>2025-11</v>
      </c>
      <c r="C599" s="2" t="s">
        <v>29</v>
      </c>
      <c r="D599" s="6">
        <v>50.0</v>
      </c>
      <c r="E599" s="4" t="s">
        <v>30</v>
      </c>
      <c r="F599" s="7" t="str">
        <f t="array" ref="F599">IFERROR(
  INDEX(lookup_table!B:B,
        MATCH(TRUE,
              ISNUMBER(SEARCH(lookup_table!A:A,C599)),
        0)
  ),
"Uncategorized")
</f>
        <v>Bills</v>
      </c>
      <c r="G599" s="1" t="s">
        <v>13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8">
        <v>45967.0</v>
      </c>
      <c r="B600" s="4" t="str">
        <f t="shared" si="1"/>
        <v>2025-11</v>
      </c>
      <c r="C600" s="2" t="s">
        <v>31</v>
      </c>
      <c r="D600" s="6">
        <v>346.3</v>
      </c>
      <c r="E600" s="4" t="s">
        <v>32</v>
      </c>
      <c r="F600" s="7" t="str">
        <f t="array" ref="F600">IFERROR(
  INDEX(lookup_table!B:B,
        MATCH(TRUE,
              ISNUMBER(SEARCH(lookup_table!A:A,C600)),
        0)
  ),
"Uncategorized")
</f>
        <v>Bills</v>
      </c>
      <c r="G600" s="1" t="s">
        <v>13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9">
        <v>45968.0</v>
      </c>
      <c r="B601" s="4" t="str">
        <f t="shared" si="1"/>
        <v>2025-11</v>
      </c>
      <c r="C601" s="2" t="s">
        <v>300</v>
      </c>
      <c r="D601" s="6">
        <v>35.0</v>
      </c>
      <c r="E601" s="4" t="s">
        <v>28</v>
      </c>
      <c r="F601" s="7" t="str">
        <f t="array" ref="F601">IFERROR(
  INDEX(lookup_table!B:B,
        MATCH(TRUE,
              ISNUMBER(SEARCH(lookup_table!A:A,C601)),
        0)
  ),
"Uncategorized")
</f>
        <v>Travel</v>
      </c>
      <c r="G601" s="1" t="s">
        <v>10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9">
        <v>45970.0</v>
      </c>
      <c r="B602" s="4" t="str">
        <f t="shared" si="1"/>
        <v>2025-11</v>
      </c>
      <c r="C602" s="2" t="s">
        <v>301</v>
      </c>
      <c r="D602" s="6">
        <v>37.73</v>
      </c>
      <c r="E602" s="4" t="s">
        <v>40</v>
      </c>
      <c r="F602" s="7" t="str">
        <f t="array" ref="F602">IFERROR(
  INDEX(lookup_table!B:B,
        MATCH(TRUE,
              ISNUMBER(SEARCH(lookup_table!A:A,C602)),
        0)
  ),
"Uncategorized")
</f>
        <v>Entertainment</v>
      </c>
      <c r="G602" s="1" t="s">
        <v>10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9">
        <v>45971.0</v>
      </c>
      <c r="B603" s="4" t="str">
        <f t="shared" si="1"/>
        <v>2025-11</v>
      </c>
      <c r="C603" s="2" t="s">
        <v>302</v>
      </c>
      <c r="D603" s="6">
        <v>32.72</v>
      </c>
      <c r="E603" s="4" t="s">
        <v>63</v>
      </c>
      <c r="F603" s="7" t="str">
        <f t="array" ref="F603">IFERROR(
  INDEX(lookup_table!B:B,
        MATCH(TRUE,
              ISNUMBER(SEARCH(lookup_table!A:A,C603)),
        0)
  ),
"Uncategorized")
</f>
        <v>Shopping</v>
      </c>
      <c r="G603" s="1" t="s">
        <v>10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9">
        <v>45974.0</v>
      </c>
      <c r="B604" s="4" t="str">
        <f t="shared" si="1"/>
        <v>2025-11</v>
      </c>
      <c r="C604" s="2" t="s">
        <v>302</v>
      </c>
      <c r="D604" s="6">
        <v>32.44</v>
      </c>
      <c r="E604" s="4" t="s">
        <v>63</v>
      </c>
      <c r="F604" s="7" t="str">
        <f t="array" ref="F604">IFERROR(
  INDEX(lookup_table!B:B,
        MATCH(TRUE,
              ISNUMBER(SEARCH(lookup_table!A:A,C604)),
        0)
  ),
"Uncategorized")
</f>
        <v>Shopping</v>
      </c>
      <c r="G604" s="1" t="s">
        <v>10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9">
        <v>45974.0</v>
      </c>
      <c r="B605" s="4" t="str">
        <f t="shared" si="1"/>
        <v>2025-11</v>
      </c>
      <c r="C605" s="2" t="s">
        <v>170</v>
      </c>
      <c r="D605" s="6">
        <v>15.77</v>
      </c>
      <c r="E605" s="4" t="s">
        <v>28</v>
      </c>
      <c r="F605" s="7" t="str">
        <f t="array" ref="F605">IFERROR(
  INDEX(lookup_table!B:B,
        MATCH(TRUE,
              ISNUMBER(SEARCH(lookup_table!A:A,C605)),
        0)
  ),
"Uncategorized")
</f>
        <v>Subscriptions</v>
      </c>
      <c r="G605" s="1" t="s">
        <v>10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9">
        <v>45976.0</v>
      </c>
      <c r="B606" s="4" t="str">
        <f t="shared" si="1"/>
        <v>2025-11</v>
      </c>
      <c r="C606" s="2" t="s">
        <v>303</v>
      </c>
      <c r="D606" s="6">
        <v>208.35</v>
      </c>
      <c r="E606" s="4" t="s">
        <v>28</v>
      </c>
      <c r="F606" s="7" t="str">
        <f t="array" ref="F606">IFERROR(
  INDEX(lookup_table!B:B,
        MATCH(TRUE,
              ISNUMBER(SEARCH(lookup_table!A:A,C606)),
        0)
  ),
"Uncategorized")
</f>
        <v>Shopping</v>
      </c>
      <c r="G606" s="1" t="s">
        <v>10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9">
        <v>45977.0</v>
      </c>
      <c r="B607" s="4" t="str">
        <f t="shared" si="1"/>
        <v>2025-11</v>
      </c>
      <c r="C607" s="2" t="s">
        <v>302</v>
      </c>
      <c r="D607" s="6">
        <v>19.53</v>
      </c>
      <c r="E607" s="4" t="s">
        <v>63</v>
      </c>
      <c r="F607" s="7" t="str">
        <f t="array" ref="F607">IFERROR(
  INDEX(lookup_table!B:B,
        MATCH(TRUE,
              ISNUMBER(SEARCH(lookup_table!A:A,C607)),
        0)
  ),
"Uncategorized")
</f>
        <v>Shopping</v>
      </c>
      <c r="G607" s="1" t="s">
        <v>10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9">
        <v>45979.0</v>
      </c>
      <c r="B608" s="4" t="str">
        <f t="shared" si="1"/>
        <v>2025-11</v>
      </c>
      <c r="C608" s="2" t="s">
        <v>304</v>
      </c>
      <c r="D608" s="6">
        <v>20.01</v>
      </c>
      <c r="E608" s="4" t="s">
        <v>25</v>
      </c>
      <c r="F608" s="7" t="str">
        <f t="array" ref="F608">IFERROR(
  INDEX(lookup_table!B:B,
        MATCH(TRUE,
              ISNUMBER(SEARCH(lookup_table!A:A,C608)),
        0)
  ),
"Uncategorized")
</f>
        <v>Dining Out</v>
      </c>
      <c r="G608" s="1" t="s">
        <v>21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9">
        <v>45980.0</v>
      </c>
      <c r="B609" s="4" t="str">
        <f t="shared" si="1"/>
        <v>2025-11</v>
      </c>
      <c r="C609" s="2" t="s">
        <v>305</v>
      </c>
      <c r="D609" s="6">
        <v>26.3</v>
      </c>
      <c r="E609" s="4" t="s">
        <v>9</v>
      </c>
      <c r="F609" s="7" t="str">
        <f t="array" ref="F609">IFERROR(
  INDEX(lookup_table!B:B,
        MATCH(TRUE,
              ISNUMBER(SEARCH(lookup_table!A:A,C609)),
        0)
  ),
"Uncategorized")
</f>
        <v>Dining Out</v>
      </c>
      <c r="G609" s="1" t="s">
        <v>10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9">
        <v>45982.0</v>
      </c>
      <c r="B610" s="4" t="str">
        <f t="shared" si="1"/>
        <v>2025-11</v>
      </c>
      <c r="C610" s="2" t="s">
        <v>11</v>
      </c>
      <c r="D610" s="6">
        <v>41.19</v>
      </c>
      <c r="E610" s="4" t="s">
        <v>26</v>
      </c>
      <c r="F610" s="7" t="str">
        <f t="array" ref="F610">IFERROR(
  INDEX(lookup_table!B:B,
        MATCH(TRUE,
              ISNUMBER(SEARCH(lookup_table!A:A,C610)),
        0)
  ),
"Uncategorized")
</f>
        <v>Transportation</v>
      </c>
      <c r="G610" s="1" t="s">
        <v>10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8">
        <v>45982.0</v>
      </c>
      <c r="B611" s="4" t="str">
        <f t="shared" si="1"/>
        <v>2025-11</v>
      </c>
      <c r="C611" s="2" t="s">
        <v>306</v>
      </c>
      <c r="D611" s="6">
        <v>105.0</v>
      </c>
      <c r="E611" s="4" t="s">
        <v>307</v>
      </c>
      <c r="F611" s="7" t="str">
        <f t="array" ref="F611">IFERROR(
  INDEX(lookup_table!B:B,
        MATCH(TRUE,
              ISNUMBER(SEARCH(lookup_table!A:A,C611)),
        0)
  ),
"Uncategorized")
</f>
        <v>Transportation</v>
      </c>
      <c r="G611" s="1" t="s">
        <v>13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9">
        <v>45983.0</v>
      </c>
      <c r="B612" s="4" t="str">
        <f t="shared" si="1"/>
        <v>2025-11</v>
      </c>
      <c r="C612" s="2" t="s">
        <v>292</v>
      </c>
      <c r="D612" s="6">
        <v>8.66</v>
      </c>
      <c r="E612" s="4" t="s">
        <v>9</v>
      </c>
      <c r="F612" s="7" t="str">
        <f t="array" ref="F612">IFERROR(
  INDEX(lookup_table!B:B,
        MATCH(TRUE,
              ISNUMBER(SEARCH(lookup_table!A:A,C612)),
        0)
  ),
"Uncategorized")
</f>
        <v>Dining Out</v>
      </c>
      <c r="G612" s="1" t="s">
        <v>10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9">
        <v>45984.0</v>
      </c>
      <c r="B613" s="4" t="str">
        <f t="shared" si="1"/>
        <v>2025-11</v>
      </c>
      <c r="C613" s="2" t="s">
        <v>292</v>
      </c>
      <c r="D613" s="6">
        <v>17.25</v>
      </c>
      <c r="E613" s="4" t="s">
        <v>9</v>
      </c>
      <c r="F613" s="7" t="str">
        <f t="array" ref="F613">IFERROR(
  INDEX(lookup_table!B:B,
        MATCH(TRUE,
              ISNUMBER(SEARCH(lookup_table!A:A,C613)),
        0)
  ),
"Uncategorized")
</f>
        <v>Dining Out</v>
      </c>
      <c r="G613" s="1" t="s">
        <v>10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8">
        <v>45984.0</v>
      </c>
      <c r="B614" s="4" t="str">
        <f t="shared" si="1"/>
        <v>2025-11</v>
      </c>
      <c r="C614" s="2" t="s">
        <v>292</v>
      </c>
      <c r="D614" s="6">
        <v>3.15</v>
      </c>
      <c r="E614" s="4" t="s">
        <v>17</v>
      </c>
      <c r="F614" s="7" t="str">
        <f t="array" ref="F614">IFERROR(
  INDEX(lookup_table!B:B,
        MATCH(TRUE,
              ISNUMBER(SEARCH(lookup_table!A:A,C614)),
        0)
  ),
"Uncategorized")
</f>
        <v>Dining Out</v>
      </c>
      <c r="G614" s="1" t="s">
        <v>13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8">
        <v>45985.0</v>
      </c>
      <c r="B615" s="4" t="str">
        <f t="shared" si="1"/>
        <v>2025-11</v>
      </c>
      <c r="C615" s="2" t="s">
        <v>292</v>
      </c>
      <c r="D615" s="6">
        <v>3.15</v>
      </c>
      <c r="E615" s="4" t="s">
        <v>17</v>
      </c>
      <c r="F615" s="7" t="str">
        <f t="array" ref="F615">IFERROR(
  INDEX(lookup_table!B:B,
        MATCH(TRUE,
              ISNUMBER(SEARCH(lookup_table!A:A,C615)),
        0)
  ),
"Uncategorized")
</f>
        <v>Dining Out</v>
      </c>
      <c r="G615" s="1" t="s">
        <v>13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9">
        <v>45985.0</v>
      </c>
      <c r="B616" s="4" t="str">
        <f t="shared" si="1"/>
        <v>2025-11</v>
      </c>
      <c r="C616" s="2" t="s">
        <v>161</v>
      </c>
      <c r="D616" s="6">
        <v>71.55</v>
      </c>
      <c r="E616" s="4" t="s">
        <v>28</v>
      </c>
      <c r="F616" s="7" t="str">
        <f t="array" ref="F616">IFERROR(
  INDEX(lookup_table!B:B,
        MATCH(TRUE,
              ISNUMBER(SEARCH(lookup_table!A:A,C616)),
        0)
  ),
"Uncategorized")
</f>
        <v>Shopping</v>
      </c>
      <c r="G616" s="1" t="s">
        <v>10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9">
        <v>45986.0</v>
      </c>
      <c r="B617" s="4" t="str">
        <f t="shared" si="1"/>
        <v>2025-11</v>
      </c>
      <c r="C617" s="2" t="s">
        <v>292</v>
      </c>
      <c r="D617" s="6">
        <v>8.21</v>
      </c>
      <c r="E617" s="4" t="s">
        <v>9</v>
      </c>
      <c r="F617" s="7" t="str">
        <f t="array" ref="F617">IFERROR(
  INDEX(lookup_table!B:B,
        MATCH(TRUE,
              ISNUMBER(SEARCH(lookup_table!A:A,C617)),
        0)
  ),
"Uncategorized")
</f>
        <v>Dining Out</v>
      </c>
      <c r="G617" s="1" t="s">
        <v>10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9">
        <v>45986.0</v>
      </c>
      <c r="B618" s="4" t="str">
        <f t="shared" si="1"/>
        <v>2025-11</v>
      </c>
      <c r="C618" s="2" t="s">
        <v>111</v>
      </c>
      <c r="D618" s="6">
        <v>27.58</v>
      </c>
      <c r="E618" s="4" t="s">
        <v>23</v>
      </c>
      <c r="F618" s="7" t="str">
        <f t="array" ref="F618">IFERROR(
  INDEX(lookup_table!B:B,
        MATCH(TRUE,
              ISNUMBER(SEARCH(lookup_table!A:A,C618)),
        0)
  ),
"Uncategorized")
</f>
        <v>Dining Out</v>
      </c>
      <c r="G618" s="1" t="s">
        <v>10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9">
        <v>45986.0</v>
      </c>
      <c r="B619" s="4" t="str">
        <f t="shared" si="1"/>
        <v>2025-11</v>
      </c>
      <c r="C619" s="2" t="s">
        <v>308</v>
      </c>
      <c r="D619" s="6">
        <v>9.48</v>
      </c>
      <c r="E619" s="4" t="s">
        <v>28</v>
      </c>
      <c r="F619" s="7" t="str">
        <f t="array" ref="F619">IFERROR(
  INDEX(lookup_table!B:B,
        MATCH(TRUE,
              ISNUMBER(SEARCH(lookup_table!A:A,C619)),
        0)
  ),
"Uncategorized")
</f>
        <v>Dining Out</v>
      </c>
      <c r="G619" s="1" t="s">
        <v>10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9">
        <v>45986.0</v>
      </c>
      <c r="B620" s="4" t="str">
        <f t="shared" si="1"/>
        <v>2025-11</v>
      </c>
      <c r="C620" s="2" t="s">
        <v>304</v>
      </c>
      <c r="D620" s="6">
        <v>17.86</v>
      </c>
      <c r="E620" s="4" t="s">
        <v>25</v>
      </c>
      <c r="F620" s="7" t="str">
        <f t="array" ref="F620">IFERROR(
  INDEX(lookup_table!B:B,
        MATCH(TRUE,
              ISNUMBER(SEARCH(lookup_table!A:A,C620)),
        0)
  ),
"Uncategorized")
</f>
        <v>Dining Out</v>
      </c>
      <c r="G620" s="1" t="s">
        <v>21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9">
        <v>45986.0</v>
      </c>
      <c r="B621" s="4" t="str">
        <f t="shared" si="1"/>
        <v>2025-11</v>
      </c>
      <c r="C621" s="2" t="s">
        <v>43</v>
      </c>
      <c r="D621" s="6">
        <v>4.74</v>
      </c>
      <c r="E621" s="4" t="s">
        <v>79</v>
      </c>
      <c r="F621" s="7" t="str">
        <f t="array" ref="F621">IFERROR(
  INDEX(lookup_table!B:B,
        MATCH(TRUE,
              ISNUMBER(SEARCH(lookup_table!A:A,C621)),
        0)
  ),
"Uncategorized")
</f>
        <v>Subscriptions</v>
      </c>
      <c r="G621" s="1" t="s">
        <v>10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9">
        <v>45987.0</v>
      </c>
      <c r="B622" s="4" t="str">
        <f t="shared" si="1"/>
        <v>2025-11</v>
      </c>
      <c r="C622" s="2" t="s">
        <v>309</v>
      </c>
      <c r="D622" s="6">
        <v>3.76</v>
      </c>
      <c r="E622" s="4" t="s">
        <v>9</v>
      </c>
      <c r="F622" s="7" t="str">
        <f t="array" ref="F622">IFERROR(
  INDEX(lookup_table!B:B,
        MATCH(TRUE,
              ISNUMBER(SEARCH(lookup_table!A:A,C622)),
        0)
  ),
"Uncategorized")
</f>
        <v>Dining Out</v>
      </c>
      <c r="G622" s="1" t="s">
        <v>10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9">
        <v>45987.0</v>
      </c>
      <c r="B623" s="4" t="str">
        <f t="shared" si="1"/>
        <v>2025-11</v>
      </c>
      <c r="C623" s="2" t="s">
        <v>235</v>
      </c>
      <c r="D623" s="6">
        <v>70.79</v>
      </c>
      <c r="E623" s="4" t="s">
        <v>9</v>
      </c>
      <c r="F623" s="7" t="str">
        <f t="array" ref="F623">IFERROR(
  INDEX(lookup_table!B:B,
        MATCH(TRUE,
              ISNUMBER(SEARCH(lookup_table!A:A,C623)),
        0)
  ),
"Uncategorized")
</f>
        <v>Dining Out</v>
      </c>
      <c r="G623" s="1" t="s">
        <v>21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8">
        <v>45988.0</v>
      </c>
      <c r="B624" s="4" t="str">
        <f t="shared" si="1"/>
        <v>2025-11</v>
      </c>
      <c r="C624" s="2" t="s">
        <v>124</v>
      </c>
      <c r="D624" s="6">
        <v>2.81</v>
      </c>
      <c r="E624" s="4" t="s">
        <v>87</v>
      </c>
      <c r="F624" s="7" t="str">
        <f t="array" ref="F624">IFERROR(
  INDEX(lookup_table!B:B,
        MATCH(TRUE,
              ISNUMBER(SEARCH(lookup_table!A:A,C624)),
        0)
  ),
"Uncategorized")
</f>
        <v>Dining Out</v>
      </c>
      <c r="G624" s="1" t="s">
        <v>13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9">
        <v>45988.0</v>
      </c>
      <c r="B625" s="4" t="str">
        <f t="shared" si="1"/>
        <v>2025-11</v>
      </c>
      <c r="C625" s="2" t="s">
        <v>92</v>
      </c>
      <c r="D625" s="6">
        <v>60.18</v>
      </c>
      <c r="E625" s="4" t="s">
        <v>35</v>
      </c>
      <c r="F625" s="7" t="str">
        <f t="array" ref="F625">IFERROR(
  INDEX(lookup_table!B:B,
        MATCH(TRUE,
              ISNUMBER(SEARCH(lookup_table!A:A,C625)),
        0)
  ),
"Uncategorized")
</f>
        <v>Groceries</v>
      </c>
      <c r="G625" s="1" t="s">
        <v>21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9">
        <v>45989.0</v>
      </c>
      <c r="B626" s="4" t="str">
        <f t="shared" si="1"/>
        <v>2025-11</v>
      </c>
      <c r="C626" s="2" t="s">
        <v>81</v>
      </c>
      <c r="D626" s="6">
        <v>52.75</v>
      </c>
      <c r="E626" s="4" t="s">
        <v>28</v>
      </c>
      <c r="F626" s="7" t="str">
        <f t="array" ref="F626">IFERROR(
  INDEX(lookup_table!B:B,
        MATCH(TRUE,
              ISNUMBER(SEARCH(lookup_table!A:A,C626)),
        0)
  ),
"Uncategorized")
</f>
        <v>Shopping</v>
      </c>
      <c r="G626" s="1" t="s">
        <v>10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8">
        <v>45989.0</v>
      </c>
      <c r="B627" s="4" t="str">
        <f t="shared" si="1"/>
        <v>2025-11</v>
      </c>
      <c r="C627" s="2" t="s">
        <v>86</v>
      </c>
      <c r="D627" s="6">
        <v>50.0</v>
      </c>
      <c r="E627" s="4" t="s">
        <v>185</v>
      </c>
      <c r="F627" s="7" t="str">
        <f t="array" ref="F627">IFERROR(
  INDEX(lookup_table!B:B,
        MATCH(TRUE,
              ISNUMBER(SEARCH(lookup_table!A:A,C627)),
        0)
  ),
"Uncategorized")
</f>
        <v>Withdrawal</v>
      </c>
      <c r="G627" s="1" t="s">
        <v>13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9">
        <v>45990.0</v>
      </c>
      <c r="B628" s="4" t="str">
        <f t="shared" si="1"/>
        <v>2025-11</v>
      </c>
      <c r="C628" s="2" t="s">
        <v>310</v>
      </c>
      <c r="D628" s="6">
        <v>5.96</v>
      </c>
      <c r="E628" s="4"/>
      <c r="F628" s="7" t="str">
        <f t="array" ref="F628">IFERROR(
  INDEX(lookup_table!B:B,
        MATCH(TRUE,
              ISNUMBER(SEARCH(lookup_table!A:A,C628)),
        0)
  ),
"Uncategorized")
</f>
        <v>Dining Out</v>
      </c>
      <c r="G628" s="1" t="s">
        <v>311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5">
        <v>45992.0</v>
      </c>
      <c r="B629" s="4" t="str">
        <f t="shared" si="1"/>
        <v>2025-12</v>
      </c>
      <c r="C629" s="2" t="s">
        <v>31</v>
      </c>
      <c r="D629" s="6">
        <v>346.3</v>
      </c>
      <c r="E629" s="4"/>
      <c r="F629" s="7" t="str">
        <f t="array" ref="F629">IFERROR(
  INDEX(lookup_table!B:B,
        MATCH(TRUE,
              ISNUMBER(SEARCH(lookup_table!A:A,C629)),
        0)
  ),
"Uncategorized")
</f>
        <v>Bills</v>
      </c>
      <c r="G629" s="1" t="s">
        <v>311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9">
        <v>45992.0</v>
      </c>
      <c r="B630" s="4" t="str">
        <f t="shared" si="1"/>
        <v>2025-12</v>
      </c>
      <c r="C630" s="2" t="s">
        <v>281</v>
      </c>
      <c r="D630" s="6">
        <v>14.47</v>
      </c>
      <c r="E630" s="4" t="s">
        <v>25</v>
      </c>
      <c r="F630" s="7" t="str">
        <f t="array" ref="F630">IFERROR(
  INDEX(lookup_table!B:B,
        MATCH(TRUE,
              ISNUMBER(SEARCH(lookup_table!A:A,C630)),
        0)
  ),
"Uncategorized")
</f>
        <v>Groceries</v>
      </c>
      <c r="G630" s="1" t="s">
        <v>21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9">
        <v>45992.0</v>
      </c>
      <c r="B631" s="4" t="str">
        <f t="shared" si="1"/>
        <v>2025-12</v>
      </c>
      <c r="C631" s="2" t="s">
        <v>192</v>
      </c>
      <c r="D631" s="6">
        <v>28.35</v>
      </c>
      <c r="E631" s="4" t="s">
        <v>26</v>
      </c>
      <c r="F631" s="7" t="str">
        <f t="array" ref="F631">IFERROR(
  INDEX(lookup_table!B:B,
        MATCH(TRUE,
              ISNUMBER(SEARCH(lookup_table!A:A,C631)),
        0)
  ),
"Uncategorized")
</f>
        <v>Shopping</v>
      </c>
      <c r="G631" s="1" t="s">
        <v>10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9">
        <v>45992.0</v>
      </c>
      <c r="B632" s="4" t="str">
        <f t="shared" si="1"/>
        <v>2025-12</v>
      </c>
      <c r="C632" s="2" t="s">
        <v>312</v>
      </c>
      <c r="D632" s="6">
        <v>8.0</v>
      </c>
      <c r="E632" s="4"/>
      <c r="F632" s="7" t="str">
        <f t="array" ref="F632">IFERROR(
  INDEX(lookup_table!B:B,
        MATCH(TRUE,
              ISNUMBER(SEARCH(lookup_table!A:A,C632)),
        0)
  ),
"Uncategorized")
</f>
        <v>Travel</v>
      </c>
      <c r="G632" s="1" t="s">
        <v>311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9">
        <v>45993.0</v>
      </c>
      <c r="B633" s="4" t="str">
        <f t="shared" si="1"/>
        <v>2025-12</v>
      </c>
      <c r="C633" s="2" t="s">
        <v>313</v>
      </c>
      <c r="D633" s="6">
        <v>43.0</v>
      </c>
      <c r="E633" s="4" t="s">
        <v>9</v>
      </c>
      <c r="F633" s="7" t="str">
        <f t="array" ref="F633">IFERROR(
  INDEX(lookup_table!B:B,
        MATCH(TRUE,
              ISNUMBER(SEARCH(lookup_table!A:A,C633)),
        0)
  ),
"Uncategorized")
</f>
        <v>Dining Out</v>
      </c>
      <c r="G633" s="1" t="s">
        <v>10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9">
        <v>45993.0</v>
      </c>
      <c r="B634" s="4" t="str">
        <f t="shared" si="1"/>
        <v>2025-12</v>
      </c>
      <c r="C634" s="2" t="s">
        <v>314</v>
      </c>
      <c r="D634" s="6">
        <v>28.47</v>
      </c>
      <c r="E634" s="4" t="s">
        <v>28</v>
      </c>
      <c r="F634" s="7" t="str">
        <f t="array" ref="F634">IFERROR(
  INDEX(lookup_table!B:B,
        MATCH(TRUE,
              ISNUMBER(SEARCH(lookup_table!A:A,C634)),
        0)
  ),
"Uncategorized")
</f>
        <v>Transportation</v>
      </c>
      <c r="G634" s="1" t="s">
        <v>10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9">
        <v>45994.0</v>
      </c>
      <c r="B635" s="4" t="str">
        <f t="shared" si="1"/>
        <v>2025-12</v>
      </c>
      <c r="C635" s="2" t="s">
        <v>315</v>
      </c>
      <c r="D635" s="6">
        <v>4.0</v>
      </c>
      <c r="E635" s="4"/>
      <c r="F635" s="7" t="str">
        <f t="array" ref="F635">IFERROR(
  INDEX(lookup_table!B:B,
        MATCH(TRUE,
              ISNUMBER(SEARCH(lookup_table!A:A,C635)),
        0)
  ),
"Uncategorized")
</f>
        <v>Dining Out</v>
      </c>
      <c r="G635" s="1" t="s">
        <v>311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9">
        <v>45994.0</v>
      </c>
      <c r="B636" s="4" t="str">
        <f t="shared" si="1"/>
        <v>2025-12</v>
      </c>
      <c r="C636" s="2" t="s">
        <v>316</v>
      </c>
      <c r="D636" s="6">
        <v>33.95</v>
      </c>
      <c r="E636" s="4" t="s">
        <v>28</v>
      </c>
      <c r="F636" s="7" t="str">
        <f t="array" ref="F636">IFERROR(
  INDEX(lookup_table!B:B,
        MATCH(TRUE,
              ISNUMBER(SEARCH(lookup_table!A:A,C636)),
        0)
  ),
"Uncategorized")
</f>
        <v>Transportation</v>
      </c>
      <c r="G636" s="1" t="s">
        <v>10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9">
        <v>45997.0</v>
      </c>
      <c r="B637" s="4" t="str">
        <f t="shared" si="1"/>
        <v>2025-12</v>
      </c>
      <c r="C637" s="2" t="s">
        <v>227</v>
      </c>
      <c r="D637" s="6">
        <v>10.85</v>
      </c>
      <c r="E637" s="4" t="s">
        <v>23</v>
      </c>
      <c r="F637" s="7" t="str">
        <f t="array" ref="F637">IFERROR(
  INDEX(lookup_table!B:B,
        MATCH(TRUE,
              ISNUMBER(SEARCH(lookup_table!A:A,C637)),
        0)
  ),
"Uncategorized")
</f>
        <v>Dining Out</v>
      </c>
      <c r="G637" s="1" t="s">
        <v>10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9">
        <v>45997.0</v>
      </c>
      <c r="B638" s="4" t="str">
        <f t="shared" si="1"/>
        <v>2025-12</v>
      </c>
      <c r="C638" s="10" t="s">
        <v>317</v>
      </c>
      <c r="D638" s="6">
        <v>15.77</v>
      </c>
      <c r="E638" s="4"/>
      <c r="F638" s="7" t="str">
        <f t="array" ref="F638">IFERROR(
  INDEX(lookup_table!B:B,
        MATCH(TRUE,
              ISNUMBER(SEARCH(lookup_table!A:A,C638)),
        0)
  ),
"Uncategorized")
</f>
        <v>Subscriptions</v>
      </c>
      <c r="G638" s="1" t="s">
        <v>311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9">
        <v>45998.0</v>
      </c>
      <c r="B639" s="4" t="str">
        <f t="shared" si="1"/>
        <v>2025-12</v>
      </c>
      <c r="C639" s="2" t="s">
        <v>72</v>
      </c>
      <c r="D639" s="6">
        <v>9.17</v>
      </c>
      <c r="E639" s="4" t="s">
        <v>9</v>
      </c>
      <c r="F639" s="7" t="str">
        <f t="array" ref="F639">IFERROR(
  INDEX(lookup_table!B:B,
        MATCH(TRUE,
              ISNUMBER(SEARCH(lookup_table!A:A,C639)),
        0)
  ),
"Uncategorized")
</f>
        <v>Dining Out</v>
      </c>
      <c r="G639" s="1" t="s">
        <v>10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9">
        <v>45998.0</v>
      </c>
      <c r="B640" s="4" t="str">
        <f t="shared" si="1"/>
        <v>2025-12</v>
      </c>
      <c r="C640" s="2" t="s">
        <v>318</v>
      </c>
      <c r="D640" s="6">
        <v>9.7</v>
      </c>
      <c r="E640" s="4" t="s">
        <v>9</v>
      </c>
      <c r="F640" s="7" t="str">
        <f t="array" ref="F640">IFERROR(
  INDEX(lookup_table!B:B,
        MATCH(TRUE,
              ISNUMBER(SEARCH(lookup_table!A:A,C640)),
        0)
  ),
"Uncategorized")
</f>
        <v>Dining Out</v>
      </c>
      <c r="G640" s="1" t="s">
        <v>10</v>
      </c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9">
        <v>45998.0</v>
      </c>
      <c r="B641" s="4" t="str">
        <f t="shared" si="1"/>
        <v>2025-12</v>
      </c>
      <c r="C641" s="2" t="s">
        <v>11</v>
      </c>
      <c r="D641" s="6">
        <v>31.46</v>
      </c>
      <c r="E641" s="4" t="s">
        <v>26</v>
      </c>
      <c r="F641" s="7" t="str">
        <f t="array" ref="F641">IFERROR(
  INDEX(lookup_table!B:B,
        MATCH(TRUE,
              ISNUMBER(SEARCH(lookup_table!A:A,C641)),
        0)
  ),
"Uncategorized")
</f>
        <v>Transportation</v>
      </c>
      <c r="G641" s="1" t="s">
        <v>10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9">
        <v>45999.0</v>
      </c>
      <c r="B642" s="4" t="str">
        <f t="shared" si="1"/>
        <v>2025-12</v>
      </c>
      <c r="C642" s="2" t="s">
        <v>72</v>
      </c>
      <c r="D642" s="6">
        <v>6.94</v>
      </c>
      <c r="E642" s="4" t="s">
        <v>9</v>
      </c>
      <c r="F642" s="7" t="str">
        <f t="array" ref="F642">IFERROR(
  INDEX(lookup_table!B:B,
        MATCH(TRUE,
              ISNUMBER(SEARCH(lookup_table!A:A,C642)),
        0)
  ),
"Uncategorized")
</f>
        <v>Dining Out</v>
      </c>
      <c r="G642" s="1" t="s">
        <v>10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9">
        <v>45999.0</v>
      </c>
      <c r="B643" s="4" t="str">
        <f t="shared" si="1"/>
        <v>2025-12</v>
      </c>
      <c r="C643" s="2" t="s">
        <v>72</v>
      </c>
      <c r="D643" s="6">
        <v>15.38</v>
      </c>
      <c r="E643" s="4" t="s">
        <v>9</v>
      </c>
      <c r="F643" s="7" t="str">
        <f t="array" ref="F643">IFERROR(
  INDEX(lookup_table!B:B,
        MATCH(TRUE,
              ISNUMBER(SEARCH(lookup_table!A:A,C643)),
        0)
  ),
"Uncategorized")
</f>
        <v>Dining Out</v>
      </c>
      <c r="G643" s="1" t="s">
        <v>10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9">
        <v>45999.0</v>
      </c>
      <c r="B644" s="4" t="str">
        <f t="shared" si="1"/>
        <v>2025-12</v>
      </c>
      <c r="C644" s="10" t="s">
        <v>319</v>
      </c>
      <c r="D644" s="6">
        <v>24.98</v>
      </c>
      <c r="E644" s="4" t="s">
        <v>40</v>
      </c>
      <c r="F644" s="7" t="str">
        <f t="array" ref="F644">IFERROR(
  INDEX(lookup_table!B:B,
        MATCH(TRUE,
              ISNUMBER(SEARCH(lookup_table!A:A,C644)),
        0)
  ),
"Uncategorized")
</f>
        <v>Entertainment</v>
      </c>
      <c r="G644" s="1" t="s">
        <v>10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9">
        <v>45999.0</v>
      </c>
      <c r="B645" s="4" t="str">
        <f t="shared" si="1"/>
        <v>2025-12</v>
      </c>
      <c r="C645" s="2" t="s">
        <v>320</v>
      </c>
      <c r="D645" s="6">
        <v>21.38</v>
      </c>
      <c r="E645" s="4" t="s">
        <v>23</v>
      </c>
      <c r="F645" s="7" t="str">
        <f t="array" ref="F645">IFERROR(
  INDEX(lookup_table!B:B,
        MATCH(TRUE,
              ISNUMBER(SEARCH(lookup_table!A:A,C645)),
        0)
  ),
"Uncategorized")
</f>
        <v>Entertainment</v>
      </c>
      <c r="G645" s="1" t="s">
        <v>10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9">
        <v>45999.0</v>
      </c>
      <c r="B646" s="4" t="str">
        <f t="shared" si="1"/>
        <v>2025-12</v>
      </c>
      <c r="C646" s="2" t="s">
        <v>321</v>
      </c>
      <c r="D646" s="6">
        <v>0.75</v>
      </c>
      <c r="E646" s="4"/>
      <c r="F646" s="7" t="str">
        <f t="array" ref="F646">IFERROR(
  INDEX(lookup_table!B:B,
        MATCH(TRUE,
              ISNUMBER(SEARCH(lookup_table!A:A,C646)),
        0)
  ),
"Uncategorized")
</f>
        <v>Shopping</v>
      </c>
      <c r="G646" s="1" t="s">
        <v>311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9">
        <v>46000.0</v>
      </c>
      <c r="B647" s="4" t="str">
        <f t="shared" si="1"/>
        <v>2025-12</v>
      </c>
      <c r="C647" s="2" t="s">
        <v>85</v>
      </c>
      <c r="D647" s="6">
        <v>2.44</v>
      </c>
      <c r="E647" s="4"/>
      <c r="F647" s="7" t="str">
        <f t="array" ref="F647">IFERROR(
  INDEX(lookup_table!B:B,
        MATCH(TRUE,
              ISNUMBER(SEARCH(lookup_table!A:A,C647)),
        0)
  ),
"Uncategorized")
</f>
        <v>Groceries</v>
      </c>
      <c r="G647" s="1" t="s">
        <v>311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9">
        <v>46000.0</v>
      </c>
      <c r="B648" s="4" t="str">
        <f t="shared" si="1"/>
        <v>2025-12</v>
      </c>
      <c r="C648" s="2" t="s">
        <v>322</v>
      </c>
      <c r="D648" s="6">
        <v>115.52</v>
      </c>
      <c r="E648" s="4" t="s">
        <v>28</v>
      </c>
      <c r="F648" s="7" t="str">
        <f t="array" ref="F648">IFERROR(
  INDEX(lookup_table!B:B,
        MATCH(TRUE,
              ISNUMBER(SEARCH(lookup_table!A:A,C648)),
        0)
  ),
"Uncategorized")
</f>
        <v>Shopping</v>
      </c>
      <c r="G648" s="1" t="s">
        <v>10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9">
        <v>46001.0</v>
      </c>
      <c r="B649" s="4" t="str">
        <f t="shared" si="1"/>
        <v>2025-12</v>
      </c>
      <c r="C649" s="2" t="s">
        <v>14</v>
      </c>
      <c r="D649" s="6">
        <v>6.1</v>
      </c>
      <c r="E649" s="4"/>
      <c r="F649" s="7" t="str">
        <f t="array" ref="F649">IFERROR(
  INDEX(lookup_table!B:B,
        MATCH(TRUE,
              ISNUMBER(SEARCH(lookup_table!A:A,C649)),
        0)
  ),
"Uncategorized")
</f>
        <v>Groceries</v>
      </c>
      <c r="G649" s="1" t="s">
        <v>311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9">
        <v>46001.0</v>
      </c>
      <c r="B650" s="4" t="str">
        <f t="shared" si="1"/>
        <v>2025-12</v>
      </c>
      <c r="C650" s="10" t="s">
        <v>323</v>
      </c>
      <c r="D650" s="6">
        <v>52.74</v>
      </c>
      <c r="E650" s="4" t="s">
        <v>28</v>
      </c>
      <c r="F650" s="7" t="str">
        <f t="array" ref="F650">IFERROR(
  INDEX(lookup_table!B:B,
        MATCH(TRUE,
              ISNUMBER(SEARCH(lookup_table!A:A,C650)),
        0)
  ),
"Uncategorized")
</f>
        <v>Shopping</v>
      </c>
      <c r="G650" s="1" t="s">
        <v>10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9">
        <v>46004.0</v>
      </c>
      <c r="B651" s="4" t="str">
        <f t="shared" si="1"/>
        <v>2025-12</v>
      </c>
      <c r="C651" s="2" t="s">
        <v>324</v>
      </c>
      <c r="D651" s="6">
        <v>1.5</v>
      </c>
      <c r="E651" s="4"/>
      <c r="F651" s="7" t="str">
        <f t="array" ref="F651">IFERROR(
  INDEX(lookup_table!B:B,
        MATCH(TRUE,
              ISNUMBER(SEARCH(lookup_table!A:A,C651)),
        0)
  ),
"Uncategorized")
</f>
        <v>Dining Out</v>
      </c>
      <c r="G651" s="1" t="s">
        <v>311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9">
        <v>46004.0</v>
      </c>
      <c r="B652" s="4" t="str">
        <f t="shared" si="1"/>
        <v>2025-12</v>
      </c>
      <c r="C652" s="2" t="s">
        <v>170</v>
      </c>
      <c r="D652" s="6">
        <v>15.77</v>
      </c>
      <c r="E652" s="4" t="s">
        <v>28</v>
      </c>
      <c r="F652" s="7" t="str">
        <f t="array" ref="F652">IFERROR(
  INDEX(lookup_table!B:B,
        MATCH(TRUE,
              ISNUMBER(SEARCH(lookup_table!A:A,C652)),
        0)
  ),
"Uncategorized")
</f>
        <v>Subscriptions</v>
      </c>
      <c r="G652" s="1" t="s">
        <v>10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9">
        <v>46005.0</v>
      </c>
      <c r="B653" s="4" t="str">
        <f t="shared" si="1"/>
        <v>2025-12</v>
      </c>
      <c r="C653" s="2" t="s">
        <v>318</v>
      </c>
      <c r="D653" s="6">
        <v>5.19</v>
      </c>
      <c r="E653" s="4" t="s">
        <v>9</v>
      </c>
      <c r="F653" s="7" t="str">
        <f t="array" ref="F653">IFERROR(
  INDEX(lookup_table!B:B,
        MATCH(TRUE,
              ISNUMBER(SEARCH(lookup_table!A:A,C653)),
        0)
  ),
"Uncategorized")
</f>
        <v>Dining Out</v>
      </c>
      <c r="G653" s="1" t="s">
        <v>10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9">
        <v>46005.0</v>
      </c>
      <c r="B654" s="4" t="str">
        <f t="shared" si="1"/>
        <v>2025-12</v>
      </c>
      <c r="C654" s="2" t="s">
        <v>122</v>
      </c>
      <c r="D654" s="6">
        <v>8.25</v>
      </c>
      <c r="E654" s="4"/>
      <c r="F654" s="7" t="str">
        <f t="array" ref="F654">IFERROR(
  INDEX(lookup_table!B:B,
        MATCH(TRUE,
              ISNUMBER(SEARCH(lookup_table!A:A,C654)),
        0)
  ),
"Uncategorized")
</f>
        <v>Groceries</v>
      </c>
      <c r="G654" s="1" t="s">
        <v>311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9">
        <v>46007.0</v>
      </c>
      <c r="B655" s="4" t="str">
        <f t="shared" si="1"/>
        <v>2025-12</v>
      </c>
      <c r="C655" s="2" t="s">
        <v>318</v>
      </c>
      <c r="D655" s="6">
        <v>22.13</v>
      </c>
      <c r="E655" s="4" t="s">
        <v>9</v>
      </c>
      <c r="F655" s="7" t="str">
        <f t="array" ref="F655">IFERROR(
  INDEX(lookup_table!B:B,
        MATCH(TRUE,
              ISNUMBER(SEARCH(lookup_table!A:A,C655)),
        0)
  ),
"Uncategorized")
</f>
        <v>Dining Out</v>
      </c>
      <c r="G655" s="1" t="s">
        <v>10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9">
        <v>46007.0</v>
      </c>
      <c r="B656" s="4" t="str">
        <f t="shared" si="1"/>
        <v>2025-12</v>
      </c>
      <c r="C656" s="2" t="s">
        <v>325</v>
      </c>
      <c r="D656" s="6">
        <v>16.99</v>
      </c>
      <c r="E656" s="4"/>
      <c r="F656" s="7" t="str">
        <f t="array" ref="F656">IFERROR(
  INDEX(lookup_table!B:B,
        MATCH(TRUE,
              ISNUMBER(SEARCH(lookup_table!A:A,C656)),
        0)
  ),
"Uncategorized")
</f>
        <v>Subscriptions</v>
      </c>
      <c r="G656" s="1" t="s">
        <v>311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9">
        <v>46008.0</v>
      </c>
      <c r="B657" s="4" t="str">
        <f t="shared" si="1"/>
        <v>2025-12</v>
      </c>
      <c r="C657" s="2" t="s">
        <v>31</v>
      </c>
      <c r="D657" s="6">
        <v>175.0</v>
      </c>
      <c r="E657" s="4"/>
      <c r="F657" s="7" t="str">
        <f t="array" ref="F657">IFERROR(
  INDEX(lookup_table!B:B,
        MATCH(TRUE,
              ISNUMBER(SEARCH(lookup_table!A:A,C657)),
        0)
  ),
"Uncategorized")
</f>
        <v>Bills</v>
      </c>
      <c r="G657" s="1" t="s">
        <v>311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9">
        <v>46008.0</v>
      </c>
      <c r="B658" s="4" t="str">
        <f t="shared" si="1"/>
        <v>2025-12</v>
      </c>
      <c r="C658" s="2" t="s">
        <v>72</v>
      </c>
      <c r="D658" s="6">
        <v>11.69</v>
      </c>
      <c r="E658" s="4" t="s">
        <v>9</v>
      </c>
      <c r="F658" s="7" t="str">
        <f t="array" ref="F658">IFERROR(
  INDEX(lookup_table!B:B,
        MATCH(TRUE,
              ISNUMBER(SEARCH(lookup_table!A:A,C658)),
        0)
  ),
"Uncategorized")
</f>
        <v>Dining Out</v>
      </c>
      <c r="G658" s="1" t="s">
        <v>10</v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9">
        <v>46008.0</v>
      </c>
      <c r="B659" s="4" t="str">
        <f t="shared" si="1"/>
        <v>2025-12</v>
      </c>
      <c r="C659" s="2" t="s">
        <v>161</v>
      </c>
      <c r="D659" s="6">
        <v>21.71</v>
      </c>
      <c r="E659" s="4" t="s">
        <v>28</v>
      </c>
      <c r="F659" s="7" t="str">
        <f t="array" ref="F659">IFERROR(
  INDEX(lookup_table!B:B,
        MATCH(TRUE,
              ISNUMBER(SEARCH(lookup_table!A:A,C659)),
        0)
  ),
"Uncategorized")
</f>
        <v>Shopping</v>
      </c>
      <c r="G659" s="1" t="s">
        <v>10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9">
        <v>46008.0</v>
      </c>
      <c r="B660" s="4" t="str">
        <f t="shared" si="1"/>
        <v>2025-12</v>
      </c>
      <c r="C660" s="2" t="s">
        <v>11</v>
      </c>
      <c r="D660" s="6">
        <v>27.84</v>
      </c>
      <c r="E660" s="4" t="s">
        <v>26</v>
      </c>
      <c r="F660" s="7" t="str">
        <f t="array" ref="F660">IFERROR(
  INDEX(lookup_table!B:B,
        MATCH(TRUE,
              ISNUMBER(SEARCH(lookup_table!A:A,C660)),
        0)
  ),
"Uncategorized")
</f>
        <v>Transportation</v>
      </c>
      <c r="G660" s="1" t="s">
        <v>10</v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9">
        <v>46009.0</v>
      </c>
      <c r="B661" s="4" t="str">
        <f t="shared" si="1"/>
        <v>2025-12</v>
      </c>
      <c r="C661" s="2" t="s">
        <v>161</v>
      </c>
      <c r="D661" s="6">
        <v>21.71</v>
      </c>
      <c r="E661" s="4" t="s">
        <v>28</v>
      </c>
      <c r="F661" s="7" t="str">
        <f t="array" ref="F661">IFERROR(
  INDEX(lookup_table!B:B,
        MATCH(TRUE,
              ISNUMBER(SEARCH(lookup_table!A:A,C661)),
        0)
  ),
"Uncategorized")
</f>
        <v>Shopping</v>
      </c>
      <c r="G661" s="1" t="s">
        <v>10</v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9">
        <v>46009.0</v>
      </c>
      <c r="B662" s="4" t="str">
        <f t="shared" si="1"/>
        <v>2025-12</v>
      </c>
      <c r="C662" s="2" t="s">
        <v>326</v>
      </c>
      <c r="D662" s="6">
        <v>79.54</v>
      </c>
      <c r="E662" s="4" t="s">
        <v>28</v>
      </c>
      <c r="F662" s="7" t="str">
        <f t="array" ref="F662">IFERROR(
  INDEX(lookup_table!B:B,
        MATCH(TRUE,
              ISNUMBER(SEARCH(lookup_table!A:A,C662)),
        0)
  ),
"Uncategorized")
</f>
        <v>Transportation</v>
      </c>
      <c r="G662" s="1" t="s">
        <v>10</v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9">
        <v>46010.0</v>
      </c>
      <c r="B663" s="4" t="str">
        <f t="shared" si="1"/>
        <v>2025-12</v>
      </c>
      <c r="C663" s="2" t="s">
        <v>72</v>
      </c>
      <c r="D663" s="6">
        <v>5.59</v>
      </c>
      <c r="E663" s="4" t="s">
        <v>9</v>
      </c>
      <c r="F663" s="7" t="str">
        <f t="array" ref="F663">IFERROR(
  INDEX(lookup_table!B:B,
        MATCH(TRUE,
              ISNUMBER(SEARCH(lookup_table!A:A,C663)),
        0)
  ),
"Uncategorized")
</f>
        <v>Dining Out</v>
      </c>
      <c r="G663" s="1" t="s">
        <v>10</v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9">
        <v>46010.0</v>
      </c>
      <c r="B664" s="4" t="str">
        <f t="shared" si="1"/>
        <v>2025-12</v>
      </c>
      <c r="C664" s="2" t="s">
        <v>103</v>
      </c>
      <c r="D664" s="6">
        <v>7.0</v>
      </c>
      <c r="E664" s="4" t="s">
        <v>40</v>
      </c>
      <c r="F664" s="7" t="str">
        <f t="array" ref="F664">IFERROR(
  INDEX(lookup_table!B:B,
        MATCH(TRUE,
              ISNUMBER(SEARCH(lookup_table!A:A,C664)),
        0)
  ),
"Uncategorized")
</f>
        <v>Dining Out</v>
      </c>
      <c r="G664" s="1" t="s">
        <v>10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9">
        <v>46010.0</v>
      </c>
      <c r="B665" s="4" t="str">
        <f t="shared" si="1"/>
        <v>2025-12</v>
      </c>
      <c r="C665" s="2" t="s">
        <v>327</v>
      </c>
      <c r="D665" s="6">
        <v>19.62</v>
      </c>
      <c r="E665" s="4" t="s">
        <v>40</v>
      </c>
      <c r="F665" s="7" t="str">
        <f t="array" ref="F665">IFERROR(
  INDEX(lookup_table!B:B,
        MATCH(TRUE,
              ISNUMBER(SEARCH(lookup_table!A:A,C665)),
        0)
  ),
"Uncategorized")
</f>
        <v>Travel</v>
      </c>
      <c r="G665" s="1" t="s">
        <v>10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9">
        <v>46011.0</v>
      </c>
      <c r="B666" s="4" t="str">
        <f t="shared" si="1"/>
        <v>2025-12</v>
      </c>
      <c r="C666" s="2" t="s">
        <v>72</v>
      </c>
      <c r="D666" s="6">
        <v>14.95</v>
      </c>
      <c r="E666" s="4" t="s">
        <v>9</v>
      </c>
      <c r="F666" s="7" t="str">
        <f t="array" ref="F666">IFERROR(
  INDEX(lookup_table!B:B,
        MATCH(TRUE,
              ISNUMBER(SEARCH(lookup_table!A:A,C666)),
        0)
  ),
"Uncategorized")
</f>
        <v>Dining Out</v>
      </c>
      <c r="G666" s="1" t="s">
        <v>10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9">
        <v>46011.0</v>
      </c>
      <c r="B667" s="4" t="str">
        <f t="shared" si="1"/>
        <v>2025-12</v>
      </c>
      <c r="C667" s="2" t="s">
        <v>11</v>
      </c>
      <c r="D667" s="6">
        <v>23.69</v>
      </c>
      <c r="E667" s="4" t="s">
        <v>26</v>
      </c>
      <c r="F667" s="7" t="str">
        <f t="array" ref="F667">IFERROR(
  INDEX(lookup_table!B:B,
        MATCH(TRUE,
              ISNUMBER(SEARCH(lookup_table!A:A,C667)),
        0)
  ),
"Uncategorized")
</f>
        <v>Transportation</v>
      </c>
      <c r="G667" s="1" t="s">
        <v>10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9">
        <v>46012.0</v>
      </c>
      <c r="B668" s="4" t="str">
        <f t="shared" si="1"/>
        <v>2025-12</v>
      </c>
      <c r="C668" s="2" t="s">
        <v>232</v>
      </c>
      <c r="D668" s="6">
        <v>55.92</v>
      </c>
      <c r="E668" s="4" t="s">
        <v>25</v>
      </c>
      <c r="F668" s="7" t="str">
        <f t="array" ref="F668">IFERROR(
  INDEX(lookup_table!B:B,
        MATCH(TRUE,
              ISNUMBER(SEARCH(lookup_table!A:A,C668)),
        0)
  ),
"Uncategorized")
</f>
        <v>Shopping</v>
      </c>
      <c r="G668" s="1" t="s">
        <v>21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9">
        <v>46013.0</v>
      </c>
      <c r="B669" s="4" t="str">
        <f t="shared" si="1"/>
        <v>2025-12</v>
      </c>
      <c r="C669" s="2" t="s">
        <v>111</v>
      </c>
      <c r="D669" s="6">
        <v>3.15</v>
      </c>
      <c r="E669" s="4"/>
      <c r="F669" s="7" t="str">
        <f t="array" ref="F669">IFERROR(
  INDEX(lookup_table!B:B,
        MATCH(TRUE,
              ISNUMBER(SEARCH(lookup_table!A:A,C669)),
        0)
  ),
"Uncategorized")
</f>
        <v>Dining Out</v>
      </c>
      <c r="G669" s="1" t="s">
        <v>311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9">
        <v>46013.0</v>
      </c>
      <c r="B670" s="4" t="str">
        <f t="shared" si="1"/>
        <v>2025-12</v>
      </c>
      <c r="C670" s="2" t="s">
        <v>43</v>
      </c>
      <c r="D670" s="6">
        <v>1.0</v>
      </c>
      <c r="E670" s="4"/>
      <c r="F670" s="7" t="str">
        <f t="array" ref="F670">IFERROR(
  INDEX(lookup_table!B:B,
        MATCH(TRUE,
              ISNUMBER(SEARCH(lookup_table!A:A,C670)),
        0)
  ),
"Uncategorized")
</f>
        <v>Subscriptions</v>
      </c>
      <c r="G670" s="1" t="s">
        <v>311</v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9">
        <v>46013.0</v>
      </c>
      <c r="B671" s="4" t="str">
        <f t="shared" si="1"/>
        <v>2025-12</v>
      </c>
      <c r="C671" s="2" t="s">
        <v>11</v>
      </c>
      <c r="D671" s="6">
        <v>8.1</v>
      </c>
      <c r="E671" s="4" t="s">
        <v>26</v>
      </c>
      <c r="F671" s="7" t="str">
        <f t="array" ref="F671">IFERROR(
  INDEX(lookup_table!B:B,
        MATCH(TRUE,
              ISNUMBER(SEARCH(lookup_table!A:A,C671)),
        0)
  ),
"Uncategorized")
</f>
        <v>Transportation</v>
      </c>
      <c r="G671" s="1" t="s">
        <v>10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9">
        <v>46014.0</v>
      </c>
      <c r="B672" s="4" t="str">
        <f t="shared" si="1"/>
        <v>2025-12</v>
      </c>
      <c r="C672" s="2" t="s">
        <v>171</v>
      </c>
      <c r="D672" s="6">
        <v>11.58</v>
      </c>
      <c r="E672" s="4"/>
      <c r="F672" s="7" t="str">
        <f t="array" ref="F672">IFERROR(
  INDEX(lookup_table!B:B,
        MATCH(TRUE,
              ISNUMBER(SEARCH(lookup_table!A:A,C672)),
        0)
  ),
"Uncategorized")
</f>
        <v>Dining Out</v>
      </c>
      <c r="G672" s="1" t="s">
        <v>311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9">
        <v>46014.0</v>
      </c>
      <c r="B673" s="4" t="str">
        <f t="shared" si="1"/>
        <v>2025-12</v>
      </c>
      <c r="C673" s="2" t="s">
        <v>328</v>
      </c>
      <c r="D673" s="6">
        <v>42.24</v>
      </c>
      <c r="E673" s="4" t="s">
        <v>167</v>
      </c>
      <c r="F673" s="7" t="str">
        <f t="array" ref="F673">IFERROR(
  INDEX(lookup_table!B:B,
        MATCH(TRUE,
              ISNUMBER(SEARCH(lookup_table!A:A,C673)),
        0)
  ),
"Uncategorized")
</f>
        <v>Transportation</v>
      </c>
      <c r="G673" s="1" t="s">
        <v>21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9">
        <v>46015.0</v>
      </c>
      <c r="B674" s="4" t="str">
        <f t="shared" si="1"/>
        <v>2025-12</v>
      </c>
      <c r="C674" s="2" t="s">
        <v>153</v>
      </c>
      <c r="D674" s="6">
        <v>11.49</v>
      </c>
      <c r="E674" s="4"/>
      <c r="F674" s="7" t="str">
        <f t="array" ref="F674">IFERROR(
  INDEX(lookup_table!B:B,
        MATCH(TRUE,
              ISNUMBER(SEARCH(lookup_table!A:A,C674)),
        0)
  ),
"Uncategorized")
</f>
        <v>Groceries</v>
      </c>
      <c r="G674" s="1" t="s">
        <v>311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9">
        <v>46015.0</v>
      </c>
      <c r="B675" s="4" t="str">
        <f t="shared" si="1"/>
        <v>2025-12</v>
      </c>
      <c r="C675" s="2" t="s">
        <v>85</v>
      </c>
      <c r="D675" s="6">
        <v>21.83</v>
      </c>
      <c r="E675" s="4"/>
      <c r="F675" s="7" t="str">
        <f t="array" ref="F675">IFERROR(
  INDEX(lookup_table!B:B,
        MATCH(TRUE,
              ISNUMBER(SEARCH(lookup_table!A:A,C675)),
        0)
  ),
"Uncategorized")
</f>
        <v>Groceries</v>
      </c>
      <c r="G675" s="1" t="s">
        <v>311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9">
        <v>46015.0</v>
      </c>
      <c r="B676" s="4" t="str">
        <f t="shared" si="1"/>
        <v>2025-12</v>
      </c>
      <c r="C676" s="2" t="s">
        <v>27</v>
      </c>
      <c r="D676" s="6">
        <v>11.59</v>
      </c>
      <c r="E676" s="4" t="s">
        <v>28</v>
      </c>
      <c r="F676" s="7" t="str">
        <f t="array" ref="F676">IFERROR(
  INDEX(lookup_table!B:B,
        MATCH(TRUE,
              ISNUMBER(SEARCH(lookup_table!A:A,C676)),
        0)
  ),
"Uncategorized")
</f>
        <v>Shopping</v>
      </c>
      <c r="G676" s="1" t="s">
        <v>10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9">
        <v>46015.0</v>
      </c>
      <c r="B677" s="4" t="str">
        <f t="shared" si="1"/>
        <v>2025-12</v>
      </c>
      <c r="C677" s="2" t="s">
        <v>192</v>
      </c>
      <c r="D677" s="6">
        <v>17.36</v>
      </c>
      <c r="E677" s="4" t="s">
        <v>26</v>
      </c>
      <c r="F677" s="7" t="str">
        <f t="array" ref="F677">IFERROR(
  INDEX(lookup_table!B:B,
        MATCH(TRUE,
              ISNUMBER(SEARCH(lookup_table!A:A,C677)),
        0)
  ),
"Uncategorized")
</f>
        <v>Shopping</v>
      </c>
      <c r="G677" s="1" t="s">
        <v>10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9">
        <v>46015.0</v>
      </c>
      <c r="B678" s="4" t="str">
        <f t="shared" si="1"/>
        <v>2025-12</v>
      </c>
      <c r="C678" s="2" t="s">
        <v>223</v>
      </c>
      <c r="D678" s="6">
        <v>5.24</v>
      </c>
      <c r="E678" s="4"/>
      <c r="F678" s="7" t="str">
        <f t="array" ref="F678">IFERROR(
  INDEX(lookup_table!B:B,
        MATCH(TRUE,
              ISNUMBER(SEARCH(lookup_table!A:A,C678)),
        0)
  ),
"Uncategorized")
</f>
        <v>Shopping</v>
      </c>
      <c r="G678" s="1" t="s">
        <v>311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9">
        <v>46016.0</v>
      </c>
      <c r="B679" s="4" t="str">
        <f t="shared" si="1"/>
        <v>2025-12</v>
      </c>
      <c r="C679" s="2" t="s">
        <v>292</v>
      </c>
      <c r="D679" s="6">
        <v>3.94</v>
      </c>
      <c r="E679" s="4"/>
      <c r="F679" s="7" t="str">
        <f t="array" ref="F679">IFERROR(
  INDEX(lookup_table!B:B,
        MATCH(TRUE,
              ISNUMBER(SEARCH(lookup_table!A:A,C679)),
        0)
  ),
"Uncategorized")
</f>
        <v>Dining Out</v>
      </c>
      <c r="G679" s="1" t="s">
        <v>311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9">
        <v>46016.0</v>
      </c>
      <c r="B680" s="4" t="str">
        <f t="shared" si="1"/>
        <v>2025-12</v>
      </c>
      <c r="C680" s="2" t="s">
        <v>43</v>
      </c>
      <c r="D680" s="6">
        <v>4.74</v>
      </c>
      <c r="E680" s="4" t="s">
        <v>79</v>
      </c>
      <c r="F680" s="7" t="str">
        <f t="array" ref="F680">IFERROR(
  INDEX(lookup_table!B:B,
        MATCH(TRUE,
              ISNUMBER(SEARCH(lookup_table!A:A,C680)),
        0)
  ),
"Uncategorized")
</f>
        <v>Subscriptions</v>
      </c>
      <c r="G680" s="1" t="s">
        <v>10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9">
        <v>46017.0</v>
      </c>
      <c r="B681" s="4" t="str">
        <f t="shared" si="1"/>
        <v>2025-12</v>
      </c>
      <c r="C681" s="2" t="s">
        <v>111</v>
      </c>
      <c r="D681" s="6">
        <v>131.79</v>
      </c>
      <c r="E681" s="4" t="s">
        <v>23</v>
      </c>
      <c r="F681" s="7" t="str">
        <f t="array" ref="F681">IFERROR(
  INDEX(lookup_table!B:B,
        MATCH(TRUE,
              ISNUMBER(SEARCH(lookup_table!A:A,C681)),
        0)
  ),
"Uncategorized")
</f>
        <v>Dining Out</v>
      </c>
      <c r="G681" s="1" t="s">
        <v>10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9">
        <v>46017.0</v>
      </c>
      <c r="B682" s="4" t="str">
        <f t="shared" si="1"/>
        <v>2025-12</v>
      </c>
      <c r="C682" s="2" t="s">
        <v>48</v>
      </c>
      <c r="D682" s="6">
        <v>32.98</v>
      </c>
      <c r="E682" s="4" t="s">
        <v>23</v>
      </c>
      <c r="F682" s="7" t="str">
        <f t="array" ref="F682">IFERROR(
  INDEX(lookup_table!B:B,
        MATCH(TRUE,
              ISNUMBER(SEARCH(lookup_table!A:A,C682)),
        0)
  ),
"Uncategorized")
</f>
        <v>Groceries</v>
      </c>
      <c r="G682" s="1" t="s">
        <v>10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9">
        <v>46019.0</v>
      </c>
      <c r="B683" s="4" t="str">
        <f t="shared" si="1"/>
        <v>2025-12</v>
      </c>
      <c r="C683" s="2" t="s">
        <v>329</v>
      </c>
      <c r="D683" s="6">
        <v>10.82</v>
      </c>
      <c r="E683" s="4" t="s">
        <v>23</v>
      </c>
      <c r="F683" s="7" t="str">
        <f t="array" ref="F683">IFERROR(
  INDEX(lookup_table!B:B,
        MATCH(TRUE,
              ISNUMBER(SEARCH(lookup_table!A:A,C683)),
        0)
  ),
"Uncategorized")
</f>
        <v>Shopping</v>
      </c>
      <c r="G683" s="1" t="s">
        <v>10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9">
        <v>46020.0</v>
      </c>
      <c r="B684" s="4" t="str">
        <f t="shared" si="1"/>
        <v>2025-12</v>
      </c>
      <c r="C684" s="2" t="s">
        <v>330</v>
      </c>
      <c r="D684" s="6">
        <v>9.65</v>
      </c>
      <c r="E684" s="4" t="s">
        <v>9</v>
      </c>
      <c r="F684" s="7" t="str">
        <f t="array" ref="F684">IFERROR(
  INDEX(lookup_table!B:B,
        MATCH(TRUE,
              ISNUMBER(SEARCH(lookup_table!A:A,C684)),
        0)
  ),
"Uncategorized")
</f>
        <v>Dining Out</v>
      </c>
      <c r="G684" s="1" t="s">
        <v>10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9">
        <v>46020.0</v>
      </c>
      <c r="B685" s="4" t="str">
        <f t="shared" si="1"/>
        <v>2025-12</v>
      </c>
      <c r="C685" s="2" t="s">
        <v>85</v>
      </c>
      <c r="D685" s="6">
        <v>6.88</v>
      </c>
      <c r="E685" s="4"/>
      <c r="F685" s="7" t="str">
        <f t="array" ref="F685">IFERROR(
  INDEX(lookup_table!B:B,
        MATCH(TRUE,
              ISNUMBER(SEARCH(lookup_table!A:A,C685)),
        0)
  ),
"Uncategorized")
</f>
        <v>Groceries</v>
      </c>
      <c r="G685" s="1" t="s">
        <v>311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9">
        <v>46020.0</v>
      </c>
      <c r="B686" s="4" t="str">
        <f t="shared" si="1"/>
        <v>2025-12</v>
      </c>
      <c r="C686" s="2" t="s">
        <v>192</v>
      </c>
      <c r="D686" s="6">
        <v>23.95</v>
      </c>
      <c r="E686" s="4" t="s">
        <v>26</v>
      </c>
      <c r="F686" s="7" t="str">
        <f t="array" ref="F686">IFERROR(
  INDEX(lookup_table!B:B,
        MATCH(TRUE,
              ISNUMBER(SEARCH(lookup_table!A:A,C686)),
        0)
  ),
"Uncategorized")
</f>
        <v>Shopping</v>
      </c>
      <c r="G686" s="1" t="s">
        <v>10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9">
        <v>46021.0</v>
      </c>
      <c r="B687" s="4" t="str">
        <f t="shared" si="1"/>
        <v>2025-12</v>
      </c>
      <c r="C687" s="2" t="s">
        <v>163</v>
      </c>
      <c r="D687" s="6">
        <v>2.99</v>
      </c>
      <c r="E687" s="4"/>
      <c r="F687" s="7" t="str">
        <f t="array" ref="F687">IFERROR(
  INDEX(lookup_table!B:B,
        MATCH(TRUE,
              ISNUMBER(SEARCH(lookup_table!A:A,C687)),
        0)
  ),
"Uncategorized")
</f>
        <v>Dining Out</v>
      </c>
      <c r="G687" s="1" t="s">
        <v>311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9">
        <v>46021.0</v>
      </c>
      <c r="B688" s="4" t="str">
        <f t="shared" si="1"/>
        <v>2025-12</v>
      </c>
      <c r="C688" s="2" t="s">
        <v>92</v>
      </c>
      <c r="D688" s="6">
        <v>57.32</v>
      </c>
      <c r="E688" s="4" t="s">
        <v>35</v>
      </c>
      <c r="F688" s="7" t="str">
        <f t="array" ref="F688">IFERROR(
  INDEX(lookup_table!B:B,
        MATCH(TRUE,
              ISNUMBER(SEARCH(lookup_table!A:A,C688)),
        0)
  ),
"Uncategorized")
</f>
        <v>Groceries</v>
      </c>
      <c r="G688" s="1" t="s">
        <v>21</v>
      </c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9">
        <v>46021.0</v>
      </c>
      <c r="B689" s="4" t="str">
        <f t="shared" si="1"/>
        <v>2025-12</v>
      </c>
      <c r="C689" s="2" t="s">
        <v>316</v>
      </c>
      <c r="D689" s="6">
        <v>33.95</v>
      </c>
      <c r="E689" s="4" t="s">
        <v>28</v>
      </c>
      <c r="F689" s="7" t="str">
        <f t="array" ref="F689">IFERROR(
  INDEX(lookup_table!B:B,
        MATCH(TRUE,
              ISNUMBER(SEARCH(lookup_table!A:A,C689)),
        0)
  ),
"Uncategorized")
</f>
        <v>Transportation</v>
      </c>
      <c r="G689" s="1" t="s">
        <v>10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9">
        <v>46022.0</v>
      </c>
      <c r="B690" s="4" t="str">
        <f t="shared" si="1"/>
        <v>2025-12</v>
      </c>
      <c r="C690" s="2" t="s">
        <v>330</v>
      </c>
      <c r="D690" s="6">
        <v>0.53</v>
      </c>
      <c r="E690" s="4"/>
      <c r="F690" s="7" t="str">
        <f t="array" ref="F690">IFERROR(
  INDEX(lookup_table!B:B,
        MATCH(TRUE,
              ISNUMBER(SEARCH(lookup_table!A:A,C690)),
        0)
  ),
"Uncategorized")
</f>
        <v>Dining Out</v>
      </c>
      <c r="G690" s="1" t="s">
        <v>311</v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9">
        <v>46022.0</v>
      </c>
      <c r="B691" s="4" t="str">
        <f t="shared" si="1"/>
        <v>2025-12</v>
      </c>
      <c r="C691" s="2" t="s">
        <v>330</v>
      </c>
      <c r="D691" s="6">
        <v>9.86</v>
      </c>
      <c r="E691" s="4" t="s">
        <v>9</v>
      </c>
      <c r="F691" s="7" t="str">
        <f t="array" ref="F691">IFERROR(
  INDEX(lookup_table!B:B,
        MATCH(TRUE,
              ISNUMBER(SEARCH(lookup_table!A:A,C691)),
        0)
  ),
"Uncategorized")
</f>
        <v>Dining Out</v>
      </c>
      <c r="G691" s="1" t="s">
        <v>10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9">
        <v>46024.0</v>
      </c>
      <c r="B692" s="4" t="str">
        <f t="shared" si="1"/>
        <v>2026-01</v>
      </c>
      <c r="C692" s="2" t="s">
        <v>27</v>
      </c>
      <c r="D692" s="6">
        <v>12.64</v>
      </c>
      <c r="E692" s="4" t="s">
        <v>28</v>
      </c>
      <c r="F692" s="7" t="str">
        <f t="array" ref="F692">IFERROR(
  INDEX(lookup_table!B:B,
        MATCH(TRUE,
              ISNUMBER(SEARCH(lookup_table!A:A,C692)),
        0)
  ),
"Uncategorized")
</f>
        <v>Shopping</v>
      </c>
      <c r="G692" s="1" t="s">
        <v>10</v>
      </c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9">
        <v>46024.0</v>
      </c>
      <c r="B693" s="4" t="str">
        <f t="shared" si="1"/>
        <v>2026-01</v>
      </c>
      <c r="C693" s="2" t="s">
        <v>11</v>
      </c>
      <c r="D693" s="6">
        <v>24.15</v>
      </c>
      <c r="E693" s="4" t="s">
        <v>26</v>
      </c>
      <c r="F693" s="7" t="str">
        <f t="array" ref="F693">IFERROR(
  INDEX(lookup_table!B:B,
        MATCH(TRUE,
              ISNUMBER(SEARCH(lookup_table!A:A,C693)),
        0)
  ),
"Uncategorized")
</f>
        <v>Transportation</v>
      </c>
      <c r="G693" s="1" t="s">
        <v>10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9">
        <v>46025.0</v>
      </c>
      <c r="B694" s="4" t="str">
        <f t="shared" si="1"/>
        <v>2026-01</v>
      </c>
      <c r="C694" s="2" t="s">
        <v>278</v>
      </c>
      <c r="D694" s="6">
        <v>44.99</v>
      </c>
      <c r="E694" s="4" t="s">
        <v>15</v>
      </c>
      <c r="F694" s="7" t="str">
        <f t="array" ref="F694">IFERROR(
  INDEX(lookup_table!B:B,
        MATCH(TRUE,
              ISNUMBER(SEARCH(lookup_table!A:A,C694)),
        0)
  ),
"Uncategorized")
</f>
        <v>Shopping</v>
      </c>
      <c r="G694" s="1" t="s">
        <v>10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9">
        <v>46025.0</v>
      </c>
      <c r="B695" s="4" t="str">
        <f t="shared" si="1"/>
        <v>2026-01</v>
      </c>
      <c r="C695" s="2" t="s">
        <v>161</v>
      </c>
      <c r="D695" s="6">
        <v>18.95</v>
      </c>
      <c r="E695" s="4" t="s">
        <v>28</v>
      </c>
      <c r="F695" s="7" t="str">
        <f t="array" ref="F695">IFERROR(
  INDEX(lookup_table!B:B,
        MATCH(TRUE,
              ISNUMBER(SEARCH(lookup_table!A:A,C695)),
        0)
  ),
"Uncategorized")
</f>
        <v>Shopping</v>
      </c>
      <c r="G695" s="1" t="s">
        <v>10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9">
        <v>46027.0</v>
      </c>
      <c r="B696" s="4" t="str">
        <f t="shared" si="1"/>
        <v>2026-01</v>
      </c>
      <c r="C696" s="2" t="s">
        <v>331</v>
      </c>
      <c r="D696" s="6">
        <v>8.0</v>
      </c>
      <c r="E696" s="4"/>
      <c r="F696" s="7" t="str">
        <f t="array" ref="F696">IFERROR(
  INDEX(lookup_table!B:B,
        MATCH(TRUE,
              ISNUMBER(SEARCH(lookup_table!A:A,C696)),
        0)
  ),
"Uncategorized")
</f>
        <v>Dining Out</v>
      </c>
      <c r="G696" s="1" t="s">
        <v>311</v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9">
        <v>46028.0</v>
      </c>
      <c r="B697" s="4" t="str">
        <f t="shared" si="1"/>
        <v>2026-01</v>
      </c>
      <c r="C697" s="2" t="s">
        <v>29</v>
      </c>
      <c r="D697" s="6">
        <v>50.0</v>
      </c>
      <c r="E697" s="4"/>
      <c r="F697" s="7" t="str">
        <f t="array" ref="F697">IFERROR(
  INDEX(lookup_table!B:B,
        MATCH(TRUE,
              ISNUMBER(SEARCH(lookup_table!A:A,C697)),
        0)
  ),
"Uncategorized")
</f>
        <v>Bills</v>
      </c>
      <c r="G697" s="1" t="s">
        <v>311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9">
        <v>46028.0</v>
      </c>
      <c r="B698" s="4" t="str">
        <f t="shared" si="1"/>
        <v>2026-01</v>
      </c>
      <c r="C698" s="2" t="s">
        <v>332</v>
      </c>
      <c r="D698" s="6">
        <v>10.77</v>
      </c>
      <c r="E698" s="4" t="s">
        <v>28</v>
      </c>
      <c r="F698" s="7" t="str">
        <f t="array" ref="F698">IFERROR(
  INDEX(lookup_table!B:B,
        MATCH(TRUE,
              ISNUMBER(SEARCH(lookup_table!A:A,C698)),
        0)
  ),
"Uncategorized")
</f>
        <v>Shopping</v>
      </c>
      <c r="G698" s="1" t="s">
        <v>10</v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9">
        <v>46030.0</v>
      </c>
      <c r="B699" s="4" t="str">
        <f t="shared" si="1"/>
        <v>2026-01</v>
      </c>
      <c r="C699" s="2" t="s">
        <v>31</v>
      </c>
      <c r="D699" s="6">
        <v>346.3</v>
      </c>
      <c r="E699" s="4"/>
      <c r="F699" s="7" t="str">
        <f t="array" ref="F699">IFERROR(
  INDEX(lookup_table!B:B,
        MATCH(TRUE,
              ISNUMBER(SEARCH(lookup_table!A:A,C699)),
        0)
  ),
"Uncategorized")
</f>
        <v>Bills</v>
      </c>
      <c r="G699" s="1" t="s">
        <v>311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9">
        <v>46030.0</v>
      </c>
      <c r="B700" s="4" t="str">
        <f t="shared" si="1"/>
        <v>2026-01</v>
      </c>
      <c r="C700" s="2" t="s">
        <v>31</v>
      </c>
      <c r="D700" s="6">
        <v>25.0</v>
      </c>
      <c r="E700" s="4"/>
      <c r="F700" s="7" t="str">
        <f t="array" ref="F700">IFERROR(
  INDEX(lookup_table!B:B,
        MATCH(TRUE,
              ISNUMBER(SEARCH(lookup_table!A:A,C700)),
        0)
  ),
"Uncategorized")
</f>
        <v>Bills</v>
      </c>
      <c r="G700" s="1" t="s">
        <v>311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9">
        <v>46032.0</v>
      </c>
      <c r="B701" s="4" t="str">
        <f t="shared" si="1"/>
        <v>2026-01</v>
      </c>
      <c r="C701" s="2" t="s">
        <v>11</v>
      </c>
      <c r="D701" s="6">
        <v>27.59</v>
      </c>
      <c r="E701" s="4" t="s">
        <v>26</v>
      </c>
      <c r="F701" s="7" t="str">
        <f t="array" ref="F701">IFERROR(
  INDEX(lookup_table!B:B,
        MATCH(TRUE,
              ISNUMBER(SEARCH(lookup_table!A:A,C701)),
        0)
  ),
"Uncategorized")
</f>
        <v>Transportation</v>
      </c>
      <c r="G701" s="1" t="s">
        <v>10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9">
        <v>46032.0</v>
      </c>
      <c r="B702" s="4" t="str">
        <f t="shared" si="1"/>
        <v>2026-01</v>
      </c>
      <c r="C702" s="2" t="s">
        <v>333</v>
      </c>
      <c r="D702" s="6">
        <v>18.93</v>
      </c>
      <c r="E702" s="4" t="s">
        <v>28</v>
      </c>
      <c r="F702" s="7" t="str">
        <f t="array" ref="F702">IFERROR(
  INDEX(lookup_table!B:B,
        MATCH(TRUE,
              ISNUMBER(SEARCH(lookup_table!A:A,C702)),
        0)
  ),
"Uncategorized")
</f>
        <v>Transportation</v>
      </c>
      <c r="G702" s="1" t="s">
        <v>10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9">
        <v>46034.0</v>
      </c>
      <c r="B703" s="4" t="str">
        <f t="shared" si="1"/>
        <v>2026-01</v>
      </c>
      <c r="C703" s="2" t="s">
        <v>111</v>
      </c>
      <c r="D703" s="6">
        <v>34.77</v>
      </c>
      <c r="E703" s="4" t="s">
        <v>23</v>
      </c>
      <c r="F703" s="7" t="str">
        <f t="array" ref="F703">IFERROR(
  INDEX(lookup_table!B:B,
        MATCH(TRUE,
              ISNUMBER(SEARCH(lookup_table!A:A,C703)),
        0)
  ),
"Uncategorized")
</f>
        <v>Dining Out</v>
      </c>
      <c r="G703" s="1" t="s">
        <v>10</v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9">
        <v>46035.0</v>
      </c>
      <c r="B704" s="4" t="str">
        <f t="shared" si="1"/>
        <v>2026-01</v>
      </c>
      <c r="C704" s="2" t="s">
        <v>31</v>
      </c>
      <c r="D704" s="6">
        <v>75.0</v>
      </c>
      <c r="E704" s="4"/>
      <c r="F704" s="7" t="str">
        <f t="array" ref="F704">IFERROR(
  INDEX(lookup_table!B:B,
        MATCH(TRUE,
              ISNUMBER(SEARCH(lookup_table!A:A,C704)),
        0)
  ),
"Uncategorized")
</f>
        <v>Bills</v>
      </c>
      <c r="G704" s="1" t="s">
        <v>311</v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9">
        <v>46036.0</v>
      </c>
      <c r="B705" s="4" t="str">
        <f t="shared" si="1"/>
        <v>2026-01</v>
      </c>
      <c r="C705" s="2" t="s">
        <v>330</v>
      </c>
      <c r="D705" s="6">
        <v>12.34</v>
      </c>
      <c r="E705" s="4" t="s">
        <v>9</v>
      </c>
      <c r="F705" s="7" t="str">
        <f t="array" ref="F705">IFERROR(
  INDEX(lookup_table!B:B,
        MATCH(TRUE,
              ISNUMBER(SEARCH(lookup_table!A:A,C705)),
        0)
  ),
"Uncategorized")
</f>
        <v>Dining Out</v>
      </c>
      <c r="G705" s="1" t="s">
        <v>10</v>
      </c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9">
        <v>46036.0</v>
      </c>
      <c r="B706" s="4" t="str">
        <f t="shared" si="1"/>
        <v>2026-01</v>
      </c>
      <c r="C706" s="2" t="s">
        <v>330</v>
      </c>
      <c r="D706" s="6">
        <v>21.79</v>
      </c>
      <c r="E706" s="4" t="s">
        <v>9</v>
      </c>
      <c r="F706" s="7" t="str">
        <f t="array" ref="F706">IFERROR(
  INDEX(lookup_table!B:B,
        MATCH(TRUE,
              ISNUMBER(SEARCH(lookup_table!A:A,C706)),
        0)
  ),
"Uncategorized")
</f>
        <v>Dining Out</v>
      </c>
      <c r="G706" s="1" t="s">
        <v>10</v>
      </c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9">
        <v>46036.0</v>
      </c>
      <c r="B707" s="4" t="str">
        <f t="shared" si="1"/>
        <v>2026-01</v>
      </c>
      <c r="C707" s="2" t="s">
        <v>318</v>
      </c>
      <c r="D707" s="6">
        <v>5.65</v>
      </c>
      <c r="E707" s="4"/>
      <c r="F707" s="7" t="str">
        <f t="array" ref="F707">IFERROR(
  INDEX(lookup_table!B:B,
        MATCH(TRUE,
              ISNUMBER(SEARCH(lookup_table!A:A,C707)),
        0)
  ),
"Uncategorized")
</f>
        <v>Dining Out</v>
      </c>
      <c r="G707" s="1" t="s">
        <v>311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9">
        <v>46036.0</v>
      </c>
      <c r="B708" s="4" t="str">
        <f t="shared" si="1"/>
        <v>2026-01</v>
      </c>
      <c r="C708" s="2" t="s">
        <v>334</v>
      </c>
      <c r="D708" s="6">
        <v>35.51</v>
      </c>
      <c r="E708" s="4" t="s">
        <v>28</v>
      </c>
      <c r="F708" s="7" t="str">
        <f t="array" ref="F708">IFERROR(
  INDEX(lookup_table!B:B,
        MATCH(TRUE,
              ISNUMBER(SEARCH(lookup_table!A:A,C708)),
        0)
  ),
"Uncategorized")
</f>
        <v>Shopping</v>
      </c>
      <c r="G708" s="1" t="s">
        <v>10</v>
      </c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9">
        <v>46036.0</v>
      </c>
      <c r="B709" s="4" t="str">
        <f t="shared" si="1"/>
        <v>2026-01</v>
      </c>
      <c r="C709" s="2" t="s">
        <v>140</v>
      </c>
      <c r="D709" s="6">
        <v>10.94</v>
      </c>
      <c r="E709" s="4" t="s">
        <v>63</v>
      </c>
      <c r="F709" s="7" t="str">
        <f t="array" ref="F709">IFERROR(
  INDEX(lookup_table!B:B,
        MATCH(TRUE,
              ISNUMBER(SEARCH(lookup_table!A:A,C709)),
        0)
  ),
"Uncategorized")
</f>
        <v>Transportation</v>
      </c>
      <c r="G709" s="1" t="s">
        <v>10</v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9">
        <v>46037.0</v>
      </c>
      <c r="B710" s="4" t="str">
        <f t="shared" si="1"/>
        <v>2026-01</v>
      </c>
      <c r="C710" s="2" t="s">
        <v>124</v>
      </c>
      <c r="D710" s="6">
        <v>9.0</v>
      </c>
      <c r="E710" s="4"/>
      <c r="F710" s="7" t="str">
        <f t="array" ref="F710">IFERROR(
  INDEX(lookup_table!B:B,
        MATCH(TRUE,
              ISNUMBER(SEARCH(lookup_table!A:A,C710)),
        0)
  ),
"Uncategorized")
</f>
        <v>Dining Out</v>
      </c>
      <c r="G710" s="1" t="s">
        <v>311</v>
      </c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9">
        <v>46037.0</v>
      </c>
      <c r="B711" s="4" t="str">
        <f t="shared" si="1"/>
        <v>2026-01</v>
      </c>
      <c r="C711" s="2" t="s">
        <v>11</v>
      </c>
      <c r="D711" s="6">
        <v>45.24</v>
      </c>
      <c r="E711" s="4" t="s">
        <v>26</v>
      </c>
      <c r="F711" s="7" t="str">
        <f t="array" ref="F711">IFERROR(
  INDEX(lookup_table!B:B,
        MATCH(TRUE,
              ISNUMBER(SEARCH(lookup_table!A:A,C711)),
        0)
  ),
"Uncategorized")
</f>
        <v>Transportation</v>
      </c>
      <c r="G711" s="1" t="s">
        <v>10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9">
        <v>46038.0</v>
      </c>
      <c r="B712" s="4" t="str">
        <f t="shared" si="1"/>
        <v>2026-01</v>
      </c>
      <c r="C712" s="2" t="s">
        <v>335</v>
      </c>
      <c r="D712" s="6">
        <v>33.0</v>
      </c>
      <c r="E712" s="4"/>
      <c r="F712" s="7" t="str">
        <f t="array" ref="F712">IFERROR(
  INDEX(lookup_table!B:B,
        MATCH(TRUE,
              ISNUMBER(SEARCH(lookup_table!A:A,C712)),
        0)
  ),
"Uncategorized")
</f>
        <v>Dining Out</v>
      </c>
      <c r="G712" s="1" t="s">
        <v>311</v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9">
        <v>46038.0</v>
      </c>
      <c r="B713" s="4" t="str">
        <f t="shared" si="1"/>
        <v>2026-01</v>
      </c>
      <c r="C713" s="2" t="s">
        <v>11</v>
      </c>
      <c r="D713" s="6">
        <v>3.47</v>
      </c>
      <c r="E713" s="4"/>
      <c r="F713" s="7" t="str">
        <f t="array" ref="F713">IFERROR(
  INDEX(lookup_table!B:B,
        MATCH(TRUE,
              ISNUMBER(SEARCH(lookup_table!A:A,C713)),
        0)
  ),
"Uncategorized")
</f>
        <v>Transportation</v>
      </c>
      <c r="G713" s="1" t="s">
        <v>311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9">
        <v>46039.0</v>
      </c>
      <c r="B714" s="4" t="str">
        <f t="shared" si="1"/>
        <v>2026-01</v>
      </c>
      <c r="C714" s="2" t="s">
        <v>162</v>
      </c>
      <c r="D714" s="6">
        <v>3.75</v>
      </c>
      <c r="E714" s="4"/>
      <c r="F714" s="7" t="str">
        <f t="array" ref="F714">IFERROR(
  INDEX(lookup_table!B:B,
        MATCH(TRUE,
              ISNUMBER(SEARCH(lookup_table!A:A,C714)),
        0)
  ),
"Uncategorized")
</f>
        <v>Dining Out</v>
      </c>
      <c r="G714" s="1" t="s">
        <v>311</v>
      </c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9">
        <v>46040.0</v>
      </c>
      <c r="B715" s="4" t="str">
        <f t="shared" si="1"/>
        <v>2026-01</v>
      </c>
      <c r="C715" s="2" t="s">
        <v>336</v>
      </c>
      <c r="D715" s="6">
        <v>84.39</v>
      </c>
      <c r="E715" s="4" t="s">
        <v>28</v>
      </c>
      <c r="F715" s="7" t="str">
        <f t="array" ref="F715">IFERROR(
  INDEX(lookup_table!B:B,
        MATCH(TRUE,
              ISNUMBER(SEARCH(lookup_table!A:A,C715)),
        0)
  ),
"Uncategorized")
</f>
        <v>Shopping</v>
      </c>
      <c r="G715" s="1" t="s">
        <v>10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9">
        <v>46041.0</v>
      </c>
      <c r="B716" s="4" t="str">
        <f t="shared" si="1"/>
        <v>2026-01</v>
      </c>
      <c r="C716" s="2" t="s">
        <v>330</v>
      </c>
      <c r="D716" s="6">
        <v>26.38</v>
      </c>
      <c r="E716" s="4" t="s">
        <v>9</v>
      </c>
      <c r="F716" s="7" t="str">
        <f t="array" ref="F716">IFERROR(
  INDEX(lookup_table!B:B,
        MATCH(TRUE,
              ISNUMBER(SEARCH(lookup_table!A:A,C716)),
        0)
  ),
"Uncategorized")
</f>
        <v>Dining Out</v>
      </c>
      <c r="G716" s="1" t="s">
        <v>10</v>
      </c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9">
        <v>46041.0</v>
      </c>
      <c r="B717" s="4" t="str">
        <f t="shared" si="1"/>
        <v>2026-01</v>
      </c>
      <c r="C717" s="2" t="s">
        <v>11</v>
      </c>
      <c r="D717" s="6">
        <v>30.17</v>
      </c>
      <c r="E717" s="4" t="s">
        <v>26</v>
      </c>
      <c r="F717" s="7" t="str">
        <f t="array" ref="F717">IFERROR(
  INDEX(lookup_table!B:B,
        MATCH(TRUE,
              ISNUMBER(SEARCH(lookup_table!A:A,C717)),
        0)
  ),
"Uncategorized")
</f>
        <v>Transportation</v>
      </c>
      <c r="G717" s="1" t="s">
        <v>10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9">
        <v>46042.0</v>
      </c>
      <c r="B718" s="4" t="str">
        <f t="shared" si="1"/>
        <v>2026-01</v>
      </c>
      <c r="C718" s="2" t="s">
        <v>48</v>
      </c>
      <c r="D718" s="6">
        <v>11.26</v>
      </c>
      <c r="E718" s="4"/>
      <c r="F718" s="7" t="str">
        <f t="array" ref="F718">IFERROR(
  INDEX(lookup_table!B:B,
        MATCH(TRUE,
              ISNUMBER(SEARCH(lookup_table!A:A,C718)),
        0)
  ),
"Uncategorized")
</f>
        <v>Groceries</v>
      </c>
      <c r="G718" s="1" t="s">
        <v>311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9">
        <v>46043.0</v>
      </c>
      <c r="B719" s="4" t="str">
        <f t="shared" si="1"/>
        <v>2026-01</v>
      </c>
      <c r="C719" s="2" t="s">
        <v>330</v>
      </c>
      <c r="D719" s="6">
        <v>8.76</v>
      </c>
      <c r="E719" s="4" t="s">
        <v>9</v>
      </c>
      <c r="F719" s="7" t="str">
        <f t="array" ref="F719">IFERROR(
  INDEX(lookup_table!B:B,
        MATCH(TRUE,
              ISNUMBER(SEARCH(lookup_table!A:A,C719)),
        0)
  ),
"Uncategorized")
</f>
        <v>Dining Out</v>
      </c>
      <c r="G719" s="1" t="s">
        <v>10</v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9">
        <v>46043.0</v>
      </c>
      <c r="B720" s="4" t="str">
        <f t="shared" si="1"/>
        <v>2026-01</v>
      </c>
      <c r="C720" s="2" t="s">
        <v>330</v>
      </c>
      <c r="D720" s="6">
        <v>9.76</v>
      </c>
      <c r="E720" s="4" t="s">
        <v>9</v>
      </c>
      <c r="F720" s="7" t="str">
        <f t="array" ref="F720">IFERROR(
  INDEX(lookup_table!B:B,
        MATCH(TRUE,
              ISNUMBER(SEARCH(lookup_table!A:A,C720)),
        0)
  ),
"Uncategorized")
</f>
        <v>Dining Out</v>
      </c>
      <c r="G720" s="1" t="s">
        <v>10</v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9">
        <v>46043.0</v>
      </c>
      <c r="B721" s="4" t="str">
        <f t="shared" si="1"/>
        <v>2026-01</v>
      </c>
      <c r="C721" s="2" t="s">
        <v>118</v>
      </c>
      <c r="D721" s="6">
        <v>36.26</v>
      </c>
      <c r="E721" s="4"/>
      <c r="F721" s="7" t="str">
        <f t="array" ref="F721">IFERROR(
  INDEX(lookup_table!B:B,
        MATCH(TRUE,
              ISNUMBER(SEARCH(lookup_table!A:A,C721)),
        0)
  ),
"Uncategorized")
</f>
        <v>Groceries</v>
      </c>
      <c r="G721" s="1" t="s">
        <v>311</v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9">
        <v>46043.0</v>
      </c>
      <c r="B722" s="4" t="str">
        <f t="shared" si="1"/>
        <v>2026-01</v>
      </c>
      <c r="C722" s="2" t="s">
        <v>337</v>
      </c>
      <c r="D722" s="6">
        <v>7.91</v>
      </c>
      <c r="E722" s="4"/>
      <c r="F722" s="7" t="str">
        <f t="array" ref="F722">IFERROR(
  INDEX(lookup_table!B:B,
        MATCH(TRUE,
              ISNUMBER(SEARCH(lookup_table!A:A,C722)),
        0)
  ),
"Uncategorized")
</f>
        <v>Shopping</v>
      </c>
      <c r="G722" s="1" t="s">
        <v>311</v>
      </c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9">
        <v>46043.0</v>
      </c>
      <c r="B723" s="4" t="str">
        <f t="shared" si="1"/>
        <v>2026-01</v>
      </c>
      <c r="C723" s="2" t="s">
        <v>338</v>
      </c>
      <c r="D723" s="6">
        <v>8.0</v>
      </c>
      <c r="E723" s="4"/>
      <c r="F723" s="7" t="str">
        <f t="array" ref="F723">IFERROR(
  INDEX(lookup_table!B:B,
        MATCH(TRUE,
              ISNUMBER(SEARCH(lookup_table!A:A,C723)),
        0)
  ),
"Uncategorized")
</f>
        <v>Shopping</v>
      </c>
      <c r="G723" s="1" t="s">
        <v>311</v>
      </c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9">
        <v>46045.0</v>
      </c>
      <c r="B724" s="4" t="str">
        <f t="shared" si="1"/>
        <v>2026-01</v>
      </c>
      <c r="C724" s="2" t="s">
        <v>11</v>
      </c>
      <c r="D724" s="6">
        <v>36.75</v>
      </c>
      <c r="E724" s="4" t="s">
        <v>26</v>
      </c>
      <c r="F724" s="7" t="str">
        <f t="array" ref="F724">IFERROR(
  INDEX(lookup_table!B:B,
        MATCH(TRUE,
              ISNUMBER(SEARCH(lookup_table!A:A,C724)),
        0)
  ),
"Uncategorized")
</f>
        <v>Transportation</v>
      </c>
      <c r="G724" s="1" t="s">
        <v>10</v>
      </c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9">
        <v>46046.0</v>
      </c>
      <c r="B725" s="4" t="str">
        <f t="shared" si="1"/>
        <v>2026-01</v>
      </c>
      <c r="C725" s="2" t="s">
        <v>330</v>
      </c>
      <c r="D725" s="6">
        <v>8.76</v>
      </c>
      <c r="E725" s="4" t="s">
        <v>9</v>
      </c>
      <c r="F725" s="7" t="str">
        <f t="array" ref="F725">IFERROR(
  INDEX(lookup_table!B:B,
        MATCH(TRUE,
              ISNUMBER(SEARCH(lookup_table!A:A,C725)),
        0)
  ),
"Uncategorized")
</f>
        <v>Dining Out</v>
      </c>
      <c r="G725" s="1" t="s">
        <v>10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9">
        <v>46047.0</v>
      </c>
      <c r="B726" s="4" t="str">
        <f t="shared" si="1"/>
        <v>2026-01</v>
      </c>
      <c r="C726" s="2" t="s">
        <v>43</v>
      </c>
      <c r="D726" s="6">
        <v>4.74</v>
      </c>
      <c r="E726" s="4" t="s">
        <v>79</v>
      </c>
      <c r="F726" s="7" t="str">
        <f t="array" ref="F726">IFERROR(
  INDEX(lookup_table!B:B,
        MATCH(TRUE,
              ISNUMBER(SEARCH(lookup_table!A:A,C726)),
        0)
  ),
"Uncategorized")
</f>
        <v>Subscriptions</v>
      </c>
      <c r="G726" s="1" t="s">
        <v>10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9">
        <v>46050.0</v>
      </c>
      <c r="B727" s="4" t="str">
        <f t="shared" si="1"/>
        <v>2026-01</v>
      </c>
      <c r="C727" s="2" t="s">
        <v>339</v>
      </c>
      <c r="D727" s="6">
        <v>56.83</v>
      </c>
      <c r="E727" s="4" t="s">
        <v>9</v>
      </c>
      <c r="F727" s="7" t="str">
        <f t="array" ref="F727">IFERROR(
  INDEX(lookup_table!B:B,
        MATCH(TRUE,
              ISNUMBER(SEARCH(lookup_table!A:A,C727)),
        0)
  ),
"Uncategorized")
</f>
        <v>Dining Out</v>
      </c>
      <c r="G727" s="1" t="s">
        <v>10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9">
        <v>46050.0</v>
      </c>
      <c r="B728" s="4" t="str">
        <f t="shared" si="1"/>
        <v>2026-01</v>
      </c>
      <c r="C728" s="2" t="s">
        <v>340</v>
      </c>
      <c r="D728" s="6">
        <v>9.48</v>
      </c>
      <c r="E728" s="4" t="s">
        <v>28</v>
      </c>
      <c r="F728" s="7" t="str">
        <f t="array" ref="F728">IFERROR(
  INDEX(lookup_table!B:B,
        MATCH(TRUE,
              ISNUMBER(SEARCH(lookup_table!A:A,C728)),
        0)
  ),
"Uncategorized")
</f>
        <v>Dining Out</v>
      </c>
      <c r="G728" s="1" t="s">
        <v>10</v>
      </c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9">
        <v>46051.0</v>
      </c>
      <c r="B729" s="4" t="str">
        <f t="shared" si="1"/>
        <v>2026-01</v>
      </c>
      <c r="C729" s="2" t="s">
        <v>11</v>
      </c>
      <c r="D729" s="6">
        <v>35.0</v>
      </c>
      <c r="E729" s="4" t="s">
        <v>26</v>
      </c>
      <c r="F729" s="7" t="str">
        <f t="array" ref="F729">IFERROR(
  INDEX(lookup_table!B:B,
        MATCH(TRUE,
              ISNUMBER(SEARCH(lookup_table!A:A,C729)),
        0)
  ),
"Uncategorized")
</f>
        <v>Transportation</v>
      </c>
      <c r="G729" s="1" t="s">
        <v>10</v>
      </c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9">
        <v>46052.0</v>
      </c>
      <c r="B730" s="4" t="str">
        <f t="shared" si="1"/>
        <v>2026-01</v>
      </c>
      <c r="C730" s="2" t="s">
        <v>318</v>
      </c>
      <c r="D730" s="6">
        <v>8.0</v>
      </c>
      <c r="E730" s="4"/>
      <c r="F730" s="7" t="str">
        <f t="array" ref="F730">IFERROR(
  INDEX(lookup_table!B:B,
        MATCH(TRUE,
              ISNUMBER(SEARCH(lookup_table!A:A,C730)),
        0)
  ),
"Uncategorized")
</f>
        <v>Dining Out</v>
      </c>
      <c r="G730" s="1" t="s">
        <v>311</v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9">
        <v>46053.0</v>
      </c>
      <c r="B731" s="4" t="str">
        <f t="shared" si="1"/>
        <v>2026-01</v>
      </c>
      <c r="C731" s="2" t="s">
        <v>341</v>
      </c>
      <c r="D731" s="6">
        <v>29.9</v>
      </c>
      <c r="E731" s="4" t="s">
        <v>40</v>
      </c>
      <c r="F731" s="7" t="str">
        <f t="array" ref="F731">IFERROR(
  INDEX(lookup_table!B:B,
        MATCH(TRUE,
              ISNUMBER(SEARCH(lookup_table!A:A,C731)),
        0)
  ),
"Uncategorized")
</f>
        <v>Dining Out</v>
      </c>
      <c r="G731" s="1" t="s">
        <v>10</v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9">
        <v>46053.0</v>
      </c>
      <c r="B732" s="4" t="str">
        <f t="shared" si="1"/>
        <v>2026-01</v>
      </c>
      <c r="C732" s="2" t="s">
        <v>85</v>
      </c>
      <c r="D732" s="6">
        <v>15.63</v>
      </c>
      <c r="E732" s="4"/>
      <c r="F732" s="7" t="str">
        <f t="array" ref="F732">IFERROR(
  INDEX(lookup_table!B:B,
        MATCH(TRUE,
              ISNUMBER(SEARCH(lookup_table!A:A,C732)),
        0)
  ),
"Uncategorized")
</f>
        <v>Groceries</v>
      </c>
      <c r="G732" s="1" t="s">
        <v>311</v>
      </c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9">
        <v>46053.0</v>
      </c>
      <c r="B733" s="4" t="str">
        <f t="shared" si="1"/>
        <v>2026-01</v>
      </c>
      <c r="C733" s="2" t="s">
        <v>342</v>
      </c>
      <c r="D733" s="6">
        <v>10.73</v>
      </c>
      <c r="E733" s="4" t="s">
        <v>28</v>
      </c>
      <c r="F733" s="7" t="str">
        <f t="array" ref="F733">IFERROR(
  INDEX(lookup_table!B:B,
        MATCH(TRUE,
              ISNUMBER(SEARCH(lookup_table!A:A,C733)),
        0)
  ),
"Uncategorized")
</f>
        <v>Travel</v>
      </c>
      <c r="G733" s="1" t="s">
        <v>10</v>
      </c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9">
        <v>46054.0</v>
      </c>
      <c r="B734" s="4" t="str">
        <f t="shared" si="1"/>
        <v>2026-02</v>
      </c>
      <c r="C734" s="2" t="s">
        <v>153</v>
      </c>
      <c r="D734" s="6">
        <v>37.44</v>
      </c>
      <c r="E734" s="4" t="s">
        <v>28</v>
      </c>
      <c r="F734" s="7" t="str">
        <f t="array" ref="F734">IFERROR(
  INDEX(lookup_table!B:B,
        MATCH(TRUE,
              ISNUMBER(SEARCH(lookup_table!A:A,C734)),
        0)
  ),
"Uncategorized")
</f>
        <v>Groceries</v>
      </c>
      <c r="G734" s="1" t="s">
        <v>10</v>
      </c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9">
        <v>46056.0</v>
      </c>
      <c r="B735" s="4" t="str">
        <f t="shared" si="1"/>
        <v>2026-02</v>
      </c>
      <c r="C735" s="2" t="s">
        <v>343</v>
      </c>
      <c r="D735" s="6">
        <v>25.03</v>
      </c>
      <c r="E735" s="4" t="s">
        <v>9</v>
      </c>
      <c r="F735" s="7" t="str">
        <f t="array" ref="F735">IFERROR(
  INDEX(lookup_table!B:B,
        MATCH(TRUE,
              ISNUMBER(SEARCH(lookup_table!A:A,C735)),
        0)
  ),
"Uncategorized")
</f>
        <v>Dining Out</v>
      </c>
      <c r="G735" s="1" t="s">
        <v>10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9">
        <v>46056.0</v>
      </c>
      <c r="B736" s="4" t="str">
        <f t="shared" si="1"/>
        <v>2026-02</v>
      </c>
      <c r="C736" s="2" t="s">
        <v>68</v>
      </c>
      <c r="D736" s="6">
        <v>35.0</v>
      </c>
      <c r="E736" s="4" t="s">
        <v>40</v>
      </c>
      <c r="F736" s="7" t="str">
        <f t="array" ref="F736">IFERROR(
  INDEX(lookup_table!B:B,
        MATCH(TRUE,
              ISNUMBER(SEARCH(lookup_table!A:A,C736)),
        0)
  ),
"Uncategorized")
</f>
        <v>Shopping</v>
      </c>
      <c r="G736" s="1" t="s">
        <v>10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9">
        <v>46056.0</v>
      </c>
      <c r="B737" s="4" t="str">
        <f t="shared" si="1"/>
        <v>2026-02</v>
      </c>
      <c r="C737" s="2" t="s">
        <v>11</v>
      </c>
      <c r="D737" s="6">
        <v>35.75</v>
      </c>
      <c r="E737" s="4" t="s">
        <v>26</v>
      </c>
      <c r="F737" s="7" t="str">
        <f t="array" ref="F737">IFERROR(
  INDEX(lookup_table!B:B,
        MATCH(TRUE,
              ISNUMBER(SEARCH(lookup_table!A:A,C737)),
        0)
  ),
"Uncategorized")
</f>
        <v>Transportation</v>
      </c>
      <c r="G737" s="1" t="s">
        <v>10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9">
        <v>46057.0</v>
      </c>
      <c r="B738" s="4" t="str">
        <f t="shared" si="1"/>
        <v>2026-02</v>
      </c>
      <c r="C738" s="2" t="s">
        <v>31</v>
      </c>
      <c r="D738" s="6">
        <v>346.3</v>
      </c>
      <c r="E738" s="4"/>
      <c r="F738" s="7" t="str">
        <f t="array" ref="F738">IFERROR(
  INDEX(lookup_table!B:B,
        MATCH(TRUE,
              ISNUMBER(SEARCH(lookup_table!A:A,C738)),
        0)
  ),
"Uncategorized")
</f>
        <v>Bills</v>
      </c>
      <c r="G738" s="1" t="s">
        <v>311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9">
        <v>46057.0</v>
      </c>
      <c r="B739" s="4" t="str">
        <f t="shared" si="1"/>
        <v>2026-02</v>
      </c>
      <c r="C739" s="2" t="s">
        <v>31</v>
      </c>
      <c r="D739" s="6">
        <v>100.0</v>
      </c>
      <c r="E739" s="4"/>
      <c r="F739" s="7" t="str">
        <f t="array" ref="F739">IFERROR(
  INDEX(lookup_table!B:B,
        MATCH(TRUE,
              ISNUMBER(SEARCH(lookup_table!A:A,C739)),
        0)
  ),
"Uncategorized")
</f>
        <v>Bills</v>
      </c>
      <c r="G739" s="1" t="s">
        <v>311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9">
        <v>46057.0</v>
      </c>
      <c r="B740" s="4" t="str">
        <f t="shared" si="1"/>
        <v>2026-02</v>
      </c>
      <c r="C740" s="2" t="s">
        <v>68</v>
      </c>
      <c r="D740" s="6">
        <v>6.0</v>
      </c>
      <c r="E740" s="4"/>
      <c r="F740" s="7" t="str">
        <f t="array" ref="F740">IFERROR(
  INDEX(lookup_table!B:B,
        MATCH(TRUE,
              ISNUMBER(SEARCH(lookup_table!A:A,C740)),
        0)
  ),
"Uncategorized")
</f>
        <v>Shopping</v>
      </c>
      <c r="G740" s="1" t="s">
        <v>311</v>
      </c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9">
        <v>46057.0</v>
      </c>
      <c r="B741" s="4" t="str">
        <f t="shared" si="1"/>
        <v>2026-02</v>
      </c>
      <c r="C741" s="2" t="s">
        <v>338</v>
      </c>
      <c r="D741" s="6">
        <v>50.0</v>
      </c>
      <c r="E741" s="4"/>
      <c r="F741" s="7" t="str">
        <f t="array" ref="F741">IFERROR(
  INDEX(lookup_table!B:B,
        MATCH(TRUE,
              ISNUMBER(SEARCH(lookup_table!A:A,C741)),
        0)
  ),
"Uncategorized")
</f>
        <v>Shopping</v>
      </c>
      <c r="G741" s="1" t="s">
        <v>311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9">
        <v>46057.0</v>
      </c>
      <c r="B742" s="4" t="str">
        <f t="shared" si="1"/>
        <v>2026-02</v>
      </c>
      <c r="C742" s="2" t="s">
        <v>11</v>
      </c>
      <c r="D742" s="6">
        <v>3.99</v>
      </c>
      <c r="E742" s="4"/>
      <c r="F742" s="7" t="str">
        <f t="array" ref="F742">IFERROR(
  INDEX(lookup_table!B:B,
        MATCH(TRUE,
              ISNUMBER(SEARCH(lookup_table!A:A,C742)),
        0)
  ),
"Uncategorized")
</f>
        <v>Transportation</v>
      </c>
      <c r="G742" s="1" t="s">
        <v>311</v>
      </c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9">
        <v>46059.0</v>
      </c>
      <c r="B743" s="4" t="str">
        <f t="shared" si="1"/>
        <v>2026-02</v>
      </c>
      <c r="C743" s="2" t="s">
        <v>29</v>
      </c>
      <c r="D743" s="6">
        <v>50.0</v>
      </c>
      <c r="E743" s="4"/>
      <c r="F743" s="7" t="str">
        <f t="array" ref="F743">IFERROR(
  INDEX(lookup_table!B:B,
        MATCH(TRUE,
              ISNUMBER(SEARCH(lookup_table!A:A,C743)),
        0)
  ),
"Uncategorized")
</f>
        <v>Bills</v>
      </c>
      <c r="G743" s="1" t="s">
        <v>311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9">
        <v>46059.0</v>
      </c>
      <c r="B744" s="4" t="str">
        <f t="shared" si="1"/>
        <v>2026-02</v>
      </c>
      <c r="C744" s="2" t="s">
        <v>315</v>
      </c>
      <c r="D744" s="6">
        <v>21.67</v>
      </c>
      <c r="E744" s="4" t="s">
        <v>9</v>
      </c>
      <c r="F744" s="7" t="str">
        <f t="array" ref="F744">IFERROR(
  INDEX(lookup_table!B:B,
        MATCH(TRUE,
              ISNUMBER(SEARCH(lookup_table!A:A,C744)),
        0)
  ),
"Uncategorized")
</f>
        <v>Dining Out</v>
      </c>
      <c r="G744" s="1" t="s">
        <v>10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9">
        <v>46059.0</v>
      </c>
      <c r="B745" s="4" t="str">
        <f t="shared" si="1"/>
        <v>2026-02</v>
      </c>
      <c r="C745" s="2" t="s">
        <v>11</v>
      </c>
      <c r="D745" s="6">
        <v>35.06</v>
      </c>
      <c r="E745" s="4" t="s">
        <v>26</v>
      </c>
      <c r="F745" s="7" t="str">
        <f t="array" ref="F745">IFERROR(
  INDEX(lookup_table!B:B,
        MATCH(TRUE,
              ISNUMBER(SEARCH(lookup_table!A:A,C745)),
        0)
  ),
"Uncategorized")
</f>
        <v>Transportation</v>
      </c>
      <c r="G745" s="1" t="s">
        <v>10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9">
        <v>46060.0</v>
      </c>
      <c r="B746" s="4" t="str">
        <f t="shared" si="1"/>
        <v>2026-02</v>
      </c>
      <c r="C746" s="2" t="s">
        <v>315</v>
      </c>
      <c r="D746" s="6">
        <v>34.92</v>
      </c>
      <c r="E746" s="4" t="s">
        <v>9</v>
      </c>
      <c r="F746" s="7" t="str">
        <f t="array" ref="F746">IFERROR(
  INDEX(lookup_table!B:B,
        MATCH(TRUE,
              ISNUMBER(SEARCH(lookup_table!A:A,C746)),
        0)
  ),
"Uncategorized")
</f>
        <v>Dining Out</v>
      </c>
      <c r="G746" s="1" t="s">
        <v>10</v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9">
        <v>46060.0</v>
      </c>
      <c r="B747" s="4" t="str">
        <f t="shared" si="1"/>
        <v>2026-02</v>
      </c>
      <c r="C747" s="2" t="s">
        <v>315</v>
      </c>
      <c r="D747" s="6">
        <v>4.21</v>
      </c>
      <c r="E747" s="4" t="s">
        <v>9</v>
      </c>
      <c r="F747" s="7" t="str">
        <f t="array" ref="F747">IFERROR(
  INDEX(lookup_table!B:B,
        MATCH(TRUE,
              ISNUMBER(SEARCH(lookup_table!A:A,C747)),
        0)
  ),
"Uncategorized")
</f>
        <v>Dining Out</v>
      </c>
      <c r="G747" s="1" t="s">
        <v>10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9">
        <v>46060.0</v>
      </c>
      <c r="B748" s="4" t="str">
        <f t="shared" si="1"/>
        <v>2026-02</v>
      </c>
      <c r="C748" s="2" t="s">
        <v>48</v>
      </c>
      <c r="D748" s="6">
        <v>8.26</v>
      </c>
      <c r="E748" s="4" t="s">
        <v>23</v>
      </c>
      <c r="F748" s="7" t="str">
        <f t="array" ref="F748">IFERROR(
  INDEX(lookup_table!B:B,
        MATCH(TRUE,
              ISNUMBER(SEARCH(lookup_table!A:A,C748)),
        0)
  ),
"Uncategorized")
</f>
        <v>Groceries</v>
      </c>
      <c r="G748" s="1" t="s">
        <v>10</v>
      </c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9">
        <v>46060.0</v>
      </c>
      <c r="B749" s="4" t="str">
        <f t="shared" si="1"/>
        <v>2026-02</v>
      </c>
      <c r="C749" s="2" t="s">
        <v>344</v>
      </c>
      <c r="D749" s="6">
        <v>57.0</v>
      </c>
      <c r="E749" s="4" t="s">
        <v>28</v>
      </c>
      <c r="F749" s="7" t="str">
        <f t="array" ref="F749">IFERROR(
  INDEX(lookup_table!B:B,
        MATCH(TRUE,
              ISNUMBER(SEARCH(lookup_table!A:A,C749)),
        0)
  ),
"Uncategorized")
</f>
        <v>Shopping</v>
      </c>
      <c r="G749" s="1" t="s">
        <v>10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9">
        <v>46061.0</v>
      </c>
      <c r="B750" s="4" t="str">
        <f t="shared" si="1"/>
        <v>2026-02</v>
      </c>
      <c r="C750" s="2" t="s">
        <v>315</v>
      </c>
      <c r="D750" s="6">
        <v>14.63</v>
      </c>
      <c r="E750" s="4" t="s">
        <v>9</v>
      </c>
      <c r="F750" s="7" t="str">
        <f t="array" ref="F750">IFERROR(
  INDEX(lookup_table!B:B,
        MATCH(TRUE,
              ISNUMBER(SEARCH(lookup_table!A:A,C750)),
        0)
  ),
"Uncategorized")
</f>
        <v>Dining Out</v>
      </c>
      <c r="G750" s="1" t="s">
        <v>10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9">
        <v>46062.0</v>
      </c>
      <c r="B751" s="4" t="str">
        <f t="shared" si="1"/>
        <v>2026-02</v>
      </c>
      <c r="C751" s="2" t="s">
        <v>345</v>
      </c>
      <c r="D751" s="6">
        <v>22.25</v>
      </c>
      <c r="E751" s="4"/>
      <c r="F751" s="7" t="str">
        <f t="array" ref="F751">IFERROR(
  INDEX(lookup_table!B:B,
        MATCH(TRUE,
              ISNUMBER(SEARCH(lookup_table!A:A,C751)),
        0)
  ),
"Uncategorized")
</f>
        <v>Dining Out</v>
      </c>
      <c r="G751" s="1" t="s">
        <v>311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9">
        <v>46062.0</v>
      </c>
      <c r="B752" s="4" t="str">
        <f t="shared" si="1"/>
        <v>2026-02</v>
      </c>
      <c r="C752" s="2" t="s">
        <v>346</v>
      </c>
      <c r="D752" s="6">
        <v>3.0</v>
      </c>
      <c r="E752" s="4"/>
      <c r="F752" s="7" t="str">
        <f t="array" ref="F752">IFERROR(
  INDEX(lookup_table!B:B,
        MATCH(TRUE,
              ISNUMBER(SEARCH(lookup_table!A:A,C752)),
        0)
  ),
"Uncategorized")
</f>
        <v>Dining Out</v>
      </c>
      <c r="G752" s="1" t="s">
        <v>311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9">
        <v>46062.0</v>
      </c>
      <c r="B753" s="4" t="str">
        <f t="shared" si="1"/>
        <v>2026-02</v>
      </c>
      <c r="C753" s="2" t="s">
        <v>347</v>
      </c>
      <c r="D753" s="6">
        <v>15.0</v>
      </c>
      <c r="E753" s="4"/>
      <c r="F753" s="7" t="str">
        <f t="array" ref="F753">IFERROR(
  INDEX(lookup_table!B:B,
        MATCH(TRUE,
              ISNUMBER(SEARCH(lookup_table!A:A,C753)),
        0)
  ),
"Uncategorized")
</f>
        <v>Dining Out</v>
      </c>
      <c r="G753" s="1" t="s">
        <v>311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9">
        <v>46062.0</v>
      </c>
      <c r="B754" s="4" t="str">
        <f t="shared" si="1"/>
        <v>2026-02</v>
      </c>
      <c r="C754" s="2" t="s">
        <v>348</v>
      </c>
      <c r="D754" s="6">
        <v>58.03</v>
      </c>
      <c r="E754" s="4" t="s">
        <v>28</v>
      </c>
      <c r="F754" s="7" t="str">
        <f t="array" ref="F754">IFERROR(
  INDEX(lookup_table!B:B,
        MATCH(TRUE,
              ISNUMBER(SEARCH(lookup_table!A:A,C754)),
        0)
  ),
"Uncategorized")
</f>
        <v>Travel</v>
      </c>
      <c r="G754" s="1" t="s">
        <v>10</v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9">
        <v>46064.0</v>
      </c>
      <c r="B755" s="4" t="str">
        <f t="shared" si="1"/>
        <v>2026-02</v>
      </c>
      <c r="C755" s="2" t="s">
        <v>315</v>
      </c>
      <c r="D755" s="6">
        <v>10.48</v>
      </c>
      <c r="E755" s="4" t="s">
        <v>9</v>
      </c>
      <c r="F755" s="7" t="str">
        <f t="array" ref="F755">IFERROR(
  INDEX(lookup_table!B:B,
        MATCH(TRUE,
              ISNUMBER(SEARCH(lookup_table!A:A,C755)),
        0)
  ),
"Uncategorized")
</f>
        <v>Dining Out</v>
      </c>
      <c r="G755" s="1" t="s">
        <v>10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9">
        <v>46065.0</v>
      </c>
      <c r="B756" s="4" t="str">
        <f t="shared" si="1"/>
        <v>2026-02</v>
      </c>
      <c r="C756" s="2" t="s">
        <v>315</v>
      </c>
      <c r="D756" s="6">
        <v>3.68</v>
      </c>
      <c r="E756" s="4"/>
      <c r="F756" s="7" t="str">
        <f t="array" ref="F756">IFERROR(
  INDEX(lookup_table!B:B,
        MATCH(TRUE,
              ISNUMBER(SEARCH(lookup_table!A:A,C756)),
        0)
  ),
"Uncategorized")
</f>
        <v>Dining Out</v>
      </c>
      <c r="G756" s="1" t="s">
        <v>311</v>
      </c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12"/>
      <c r="B757" s="4"/>
      <c r="C757" s="13"/>
      <c r="D757" s="1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12"/>
      <c r="B758" s="4"/>
      <c r="C758" s="13"/>
      <c r="D758" s="1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12"/>
      <c r="B759" s="4"/>
      <c r="C759" s="13"/>
      <c r="D759" s="1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12"/>
      <c r="B760" s="4"/>
      <c r="C760" s="13"/>
      <c r="D760" s="1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12"/>
      <c r="B761" s="4"/>
      <c r="C761" s="13"/>
      <c r="D761" s="1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12"/>
      <c r="B762" s="4"/>
      <c r="C762" s="13"/>
      <c r="D762" s="1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12"/>
      <c r="B763" s="4"/>
      <c r="C763" s="13"/>
      <c r="D763" s="1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12"/>
      <c r="B764" s="4"/>
      <c r="C764" s="13"/>
      <c r="D764" s="1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12"/>
      <c r="B765" s="4"/>
      <c r="C765" s="13"/>
      <c r="D765" s="1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12"/>
      <c r="B766" s="4"/>
      <c r="C766" s="13"/>
      <c r="D766" s="1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12"/>
      <c r="B767" s="4"/>
      <c r="C767" s="13"/>
      <c r="D767" s="1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12"/>
      <c r="B768" s="4"/>
      <c r="C768" s="13"/>
      <c r="D768" s="1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12"/>
      <c r="B769" s="4"/>
      <c r="C769" s="13"/>
      <c r="D769" s="1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12"/>
      <c r="B770" s="4"/>
      <c r="C770" s="13"/>
      <c r="D770" s="1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12"/>
      <c r="B771" s="4"/>
      <c r="C771" s="13"/>
      <c r="D771" s="1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12"/>
      <c r="B772" s="4"/>
      <c r="C772" s="13"/>
      <c r="D772" s="1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12"/>
      <c r="B773" s="4"/>
      <c r="C773" s="13"/>
      <c r="D773" s="1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12"/>
      <c r="B774" s="4"/>
      <c r="C774" s="13"/>
      <c r="D774" s="1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12"/>
      <c r="B775" s="4"/>
      <c r="C775" s="13"/>
      <c r="D775" s="1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12"/>
      <c r="B776" s="4"/>
      <c r="C776" s="13"/>
      <c r="D776" s="1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12"/>
      <c r="B777" s="4"/>
      <c r="C777" s="13"/>
      <c r="D777" s="1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12"/>
      <c r="B778" s="4"/>
      <c r="C778" s="13"/>
      <c r="D778" s="1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12"/>
      <c r="B779" s="4"/>
      <c r="C779" s="13"/>
      <c r="D779" s="1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12"/>
      <c r="B780" s="4"/>
      <c r="C780" s="13"/>
      <c r="D780" s="1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12"/>
      <c r="B781" s="4"/>
      <c r="C781" s="13"/>
      <c r="D781" s="1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12"/>
      <c r="B782" s="4"/>
      <c r="C782" s="13"/>
      <c r="D782" s="1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12"/>
      <c r="B783" s="4"/>
      <c r="C783" s="13"/>
      <c r="D783" s="1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12"/>
      <c r="B784" s="4"/>
      <c r="C784" s="13"/>
      <c r="D784" s="1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12"/>
      <c r="B785" s="4"/>
      <c r="C785" s="13"/>
      <c r="D785" s="1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12"/>
      <c r="B786" s="4"/>
      <c r="C786" s="13"/>
      <c r="D786" s="1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12"/>
      <c r="B787" s="4"/>
      <c r="C787" s="13"/>
      <c r="D787" s="1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12"/>
      <c r="B788" s="4"/>
      <c r="C788" s="13"/>
      <c r="D788" s="1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12"/>
      <c r="B789" s="4"/>
      <c r="C789" s="13"/>
      <c r="D789" s="1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12"/>
      <c r="B790" s="4"/>
      <c r="C790" s="13"/>
      <c r="D790" s="1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12"/>
      <c r="B791" s="4"/>
      <c r="C791" s="13"/>
      <c r="D791" s="1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12"/>
      <c r="B792" s="4"/>
      <c r="C792" s="13"/>
      <c r="D792" s="1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12"/>
      <c r="B793" s="4"/>
      <c r="C793" s="13"/>
      <c r="D793" s="1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12"/>
      <c r="B794" s="4"/>
      <c r="C794" s="13"/>
      <c r="D794" s="1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12"/>
      <c r="B795" s="4"/>
      <c r="C795" s="13"/>
      <c r="D795" s="1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12"/>
      <c r="B796" s="4"/>
      <c r="C796" s="13"/>
      <c r="D796" s="1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12"/>
      <c r="B797" s="4"/>
      <c r="C797" s="13"/>
      <c r="D797" s="1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12"/>
      <c r="B798" s="4"/>
      <c r="C798" s="13"/>
      <c r="D798" s="1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12"/>
      <c r="B799" s="4"/>
      <c r="C799" s="13"/>
      <c r="D799" s="1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12"/>
      <c r="B800" s="4"/>
      <c r="C800" s="13"/>
      <c r="D800" s="1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12"/>
      <c r="B801" s="4"/>
      <c r="C801" s="13"/>
      <c r="D801" s="1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12"/>
      <c r="B802" s="4"/>
      <c r="C802" s="13"/>
      <c r="D802" s="1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12"/>
      <c r="B803" s="4"/>
      <c r="C803" s="13"/>
      <c r="D803" s="1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12"/>
      <c r="B804" s="4"/>
      <c r="C804" s="13"/>
      <c r="D804" s="1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12"/>
      <c r="B805" s="4"/>
      <c r="C805" s="13"/>
      <c r="D805" s="1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12"/>
      <c r="B806" s="4"/>
      <c r="C806" s="13"/>
      <c r="D806" s="1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12"/>
      <c r="B807" s="4"/>
      <c r="C807" s="13"/>
      <c r="D807" s="1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12"/>
      <c r="B808" s="4"/>
      <c r="C808" s="13"/>
      <c r="D808" s="1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12"/>
      <c r="B809" s="4"/>
      <c r="C809" s="13"/>
      <c r="D809" s="1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12"/>
      <c r="B810" s="4"/>
      <c r="C810" s="13"/>
      <c r="D810" s="1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12"/>
      <c r="B811" s="4"/>
      <c r="C811" s="13"/>
      <c r="D811" s="1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12"/>
      <c r="B812" s="4"/>
      <c r="C812" s="13"/>
      <c r="D812" s="1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12"/>
      <c r="B813" s="4"/>
      <c r="C813" s="13"/>
      <c r="D813" s="1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12"/>
      <c r="B814" s="4"/>
      <c r="C814" s="13"/>
      <c r="D814" s="1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12"/>
      <c r="B815" s="4"/>
      <c r="C815" s="13"/>
      <c r="D815" s="1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12"/>
      <c r="B816" s="4"/>
      <c r="C816" s="13"/>
      <c r="D816" s="1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12"/>
      <c r="B817" s="4"/>
      <c r="C817" s="13"/>
      <c r="D817" s="1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12"/>
      <c r="B818" s="4"/>
      <c r="C818" s="13"/>
      <c r="D818" s="1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12"/>
      <c r="B819" s="4"/>
      <c r="C819" s="13"/>
      <c r="D819" s="1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12"/>
      <c r="B820" s="4"/>
      <c r="C820" s="13"/>
      <c r="D820" s="1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12"/>
      <c r="B821" s="4"/>
      <c r="C821" s="13"/>
      <c r="D821" s="1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12"/>
      <c r="B822" s="4"/>
      <c r="C822" s="13"/>
      <c r="D822" s="1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12"/>
      <c r="B823" s="4"/>
      <c r="C823" s="13"/>
      <c r="D823" s="1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12"/>
      <c r="B824" s="4"/>
      <c r="C824" s="13"/>
      <c r="D824" s="1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12"/>
      <c r="B825" s="4"/>
      <c r="C825" s="13"/>
      <c r="D825" s="1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12"/>
      <c r="B826" s="4"/>
      <c r="C826" s="13"/>
      <c r="D826" s="1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12"/>
      <c r="B827" s="4"/>
      <c r="C827" s="13"/>
      <c r="D827" s="1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12"/>
      <c r="B828" s="4"/>
      <c r="C828" s="13"/>
      <c r="D828" s="1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12"/>
      <c r="B829" s="4"/>
      <c r="C829" s="13"/>
      <c r="D829" s="1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12"/>
      <c r="B830" s="4"/>
      <c r="C830" s="13"/>
      <c r="D830" s="1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12"/>
      <c r="B831" s="4"/>
      <c r="C831" s="13"/>
      <c r="D831" s="1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12"/>
      <c r="B832" s="4"/>
      <c r="C832" s="13"/>
      <c r="D832" s="1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12"/>
      <c r="B833" s="4"/>
      <c r="C833" s="13"/>
      <c r="D833" s="1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12"/>
      <c r="B834" s="4"/>
      <c r="C834" s="13"/>
      <c r="D834" s="1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12"/>
      <c r="B835" s="4"/>
      <c r="C835" s="13"/>
      <c r="D835" s="1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12"/>
      <c r="B836" s="4"/>
      <c r="C836" s="13"/>
      <c r="D836" s="1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12"/>
      <c r="B837" s="4"/>
      <c r="C837" s="13"/>
      <c r="D837" s="1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12"/>
      <c r="B838" s="4"/>
      <c r="C838" s="13"/>
      <c r="D838" s="1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12"/>
      <c r="B839" s="4"/>
      <c r="C839" s="13"/>
      <c r="D839" s="1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12"/>
      <c r="B840" s="4"/>
      <c r="C840" s="13"/>
      <c r="D840" s="1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12"/>
      <c r="B841" s="4"/>
      <c r="C841" s="13"/>
      <c r="D841" s="1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12"/>
      <c r="B842" s="4"/>
      <c r="C842" s="13"/>
      <c r="D842" s="1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12"/>
      <c r="B843" s="4"/>
      <c r="C843" s="13"/>
      <c r="D843" s="1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12"/>
      <c r="B844" s="4"/>
      <c r="C844" s="13"/>
      <c r="D844" s="1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12"/>
      <c r="B845" s="4"/>
      <c r="C845" s="13"/>
      <c r="D845" s="1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12"/>
      <c r="B846" s="4"/>
      <c r="C846" s="13"/>
      <c r="D846" s="1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12"/>
      <c r="B847" s="4"/>
      <c r="C847" s="13"/>
      <c r="D847" s="1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12"/>
      <c r="B848" s="4"/>
      <c r="C848" s="13"/>
      <c r="D848" s="1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12"/>
      <c r="B849" s="4"/>
      <c r="C849" s="13"/>
      <c r="D849" s="1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12"/>
      <c r="B850" s="4"/>
      <c r="C850" s="13"/>
      <c r="D850" s="1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12"/>
      <c r="B851" s="4"/>
      <c r="C851" s="13"/>
      <c r="D851" s="1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12"/>
      <c r="B852" s="4"/>
      <c r="C852" s="13"/>
      <c r="D852" s="1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12"/>
      <c r="B853" s="4"/>
      <c r="C853" s="13"/>
      <c r="D853" s="1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12"/>
      <c r="B854" s="4"/>
      <c r="C854" s="13"/>
      <c r="D854" s="1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12"/>
      <c r="B855" s="4"/>
      <c r="C855" s="13"/>
      <c r="D855" s="1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12"/>
      <c r="B856" s="4"/>
      <c r="C856" s="13"/>
      <c r="D856" s="1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12"/>
      <c r="B857" s="4"/>
      <c r="C857" s="13"/>
      <c r="D857" s="1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12"/>
      <c r="B858" s="4"/>
      <c r="C858" s="13"/>
      <c r="D858" s="1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12"/>
      <c r="B859" s="4"/>
      <c r="C859" s="13"/>
      <c r="D859" s="1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12"/>
      <c r="B860" s="4"/>
      <c r="C860" s="13"/>
      <c r="D860" s="1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12"/>
      <c r="B861" s="4"/>
      <c r="C861" s="13"/>
      <c r="D861" s="1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12"/>
      <c r="B862" s="4"/>
      <c r="C862" s="13"/>
      <c r="D862" s="1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12"/>
      <c r="B863" s="4"/>
      <c r="C863" s="13"/>
      <c r="D863" s="1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12"/>
      <c r="B864" s="4"/>
      <c r="C864" s="13"/>
      <c r="D864" s="1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12"/>
      <c r="B865" s="4"/>
      <c r="C865" s="13"/>
      <c r="D865" s="1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12"/>
      <c r="B866" s="4"/>
      <c r="C866" s="13"/>
      <c r="D866" s="1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12"/>
      <c r="B867" s="4"/>
      <c r="C867" s="13"/>
      <c r="D867" s="1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12"/>
      <c r="B868" s="4"/>
      <c r="C868" s="13"/>
      <c r="D868" s="1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12"/>
      <c r="B869" s="4"/>
      <c r="C869" s="13"/>
      <c r="D869" s="1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12"/>
      <c r="B870" s="4"/>
      <c r="C870" s="13"/>
      <c r="D870" s="1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12"/>
      <c r="B871" s="4"/>
      <c r="C871" s="13"/>
      <c r="D871" s="1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12"/>
      <c r="B872" s="4"/>
      <c r="C872" s="13"/>
      <c r="D872" s="1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12"/>
      <c r="B873" s="4"/>
      <c r="C873" s="13"/>
      <c r="D873" s="1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12"/>
      <c r="B874" s="4"/>
      <c r="C874" s="13"/>
      <c r="D874" s="1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12"/>
      <c r="B875" s="4"/>
      <c r="C875" s="13"/>
      <c r="D875" s="1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12"/>
      <c r="B876" s="4"/>
      <c r="C876" s="13"/>
      <c r="D876" s="1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12"/>
      <c r="B877" s="4"/>
      <c r="C877" s="13"/>
      <c r="D877" s="1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12"/>
      <c r="B878" s="4"/>
      <c r="C878" s="13"/>
      <c r="D878" s="1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12"/>
      <c r="B879" s="4"/>
      <c r="C879" s="13"/>
      <c r="D879" s="1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12"/>
      <c r="B880" s="4"/>
      <c r="C880" s="13"/>
      <c r="D880" s="1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12"/>
      <c r="B881" s="4"/>
      <c r="C881" s="13"/>
      <c r="D881" s="1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12"/>
      <c r="B882" s="4"/>
      <c r="C882" s="13"/>
      <c r="D882" s="1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12"/>
      <c r="B883" s="4"/>
      <c r="C883" s="13"/>
      <c r="D883" s="1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12"/>
      <c r="B884" s="4"/>
      <c r="C884" s="13"/>
      <c r="D884" s="1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12"/>
      <c r="B885" s="4"/>
      <c r="C885" s="13"/>
      <c r="D885" s="1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12"/>
      <c r="B886" s="4"/>
      <c r="C886" s="13"/>
      <c r="D886" s="1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12"/>
      <c r="B887" s="4"/>
      <c r="C887" s="13"/>
      <c r="D887" s="1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12"/>
      <c r="B888" s="4"/>
      <c r="C888" s="13"/>
      <c r="D888" s="1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12"/>
      <c r="B889" s="4"/>
      <c r="C889" s="13"/>
      <c r="D889" s="1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12"/>
      <c r="B890" s="4"/>
      <c r="C890" s="13"/>
      <c r="D890" s="1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12"/>
      <c r="B891" s="4"/>
      <c r="C891" s="13"/>
      <c r="D891" s="1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12"/>
      <c r="B892" s="4"/>
      <c r="C892" s="13"/>
      <c r="D892" s="1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12"/>
      <c r="B893" s="4"/>
      <c r="C893" s="13"/>
      <c r="D893" s="1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12"/>
      <c r="B894" s="4"/>
      <c r="C894" s="13"/>
      <c r="D894" s="1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12"/>
      <c r="B895" s="4"/>
      <c r="C895" s="13"/>
      <c r="D895" s="1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12"/>
      <c r="B896" s="4"/>
      <c r="C896" s="13"/>
      <c r="D896" s="1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12"/>
      <c r="B897" s="4"/>
      <c r="C897" s="13"/>
      <c r="D897" s="1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12"/>
      <c r="B898" s="4"/>
      <c r="C898" s="13"/>
      <c r="D898" s="1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12"/>
      <c r="B899" s="4"/>
      <c r="C899" s="13"/>
      <c r="D899" s="1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12"/>
      <c r="B900" s="4"/>
      <c r="C900" s="13"/>
      <c r="D900" s="1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12"/>
      <c r="B901" s="4"/>
      <c r="C901" s="13"/>
      <c r="D901" s="1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12"/>
      <c r="B902" s="4"/>
      <c r="C902" s="13"/>
      <c r="D902" s="1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12"/>
      <c r="B903" s="4"/>
      <c r="C903" s="13"/>
      <c r="D903" s="1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12"/>
      <c r="B904" s="4"/>
      <c r="C904" s="13"/>
      <c r="D904" s="1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12"/>
      <c r="B905" s="4"/>
      <c r="C905" s="13"/>
      <c r="D905" s="1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12"/>
      <c r="B906" s="4"/>
      <c r="C906" s="13"/>
      <c r="D906" s="1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12"/>
      <c r="B907" s="4"/>
      <c r="C907" s="13"/>
      <c r="D907" s="1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12"/>
      <c r="B908" s="4"/>
      <c r="C908" s="13"/>
      <c r="D908" s="1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12"/>
      <c r="B909" s="4"/>
      <c r="C909" s="13"/>
      <c r="D909" s="1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12"/>
      <c r="B910" s="4"/>
      <c r="C910" s="13"/>
      <c r="D910" s="1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12"/>
      <c r="B911" s="4"/>
      <c r="C911" s="13"/>
      <c r="D911" s="1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12"/>
      <c r="B912" s="4"/>
      <c r="C912" s="13"/>
      <c r="D912" s="1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12"/>
      <c r="B913" s="4"/>
      <c r="C913" s="13"/>
      <c r="D913" s="1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12"/>
      <c r="B914" s="4"/>
      <c r="C914" s="13"/>
      <c r="D914" s="1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12"/>
      <c r="B915" s="4"/>
      <c r="C915" s="13"/>
      <c r="D915" s="1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12"/>
      <c r="B916" s="4"/>
      <c r="C916" s="13"/>
      <c r="D916" s="1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12"/>
      <c r="B917" s="4"/>
      <c r="C917" s="13"/>
      <c r="D917" s="1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12"/>
      <c r="B918" s="4"/>
      <c r="C918" s="13"/>
      <c r="D918" s="1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12"/>
      <c r="B919" s="4"/>
      <c r="C919" s="13"/>
      <c r="D919" s="1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12"/>
      <c r="B920" s="4"/>
      <c r="C920" s="13"/>
      <c r="D920" s="1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12"/>
      <c r="B921" s="4"/>
      <c r="C921" s="13"/>
      <c r="D921" s="1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12"/>
      <c r="B922" s="4"/>
      <c r="C922" s="13"/>
      <c r="D922" s="1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12"/>
      <c r="B923" s="4"/>
      <c r="C923" s="13"/>
      <c r="D923" s="1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12"/>
      <c r="B924" s="4"/>
      <c r="C924" s="13"/>
      <c r="D924" s="1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12"/>
      <c r="B925" s="4"/>
      <c r="C925" s="13"/>
      <c r="D925" s="1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12"/>
      <c r="B926" s="4"/>
      <c r="C926" s="13"/>
      <c r="D926" s="1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12"/>
      <c r="B927" s="4"/>
      <c r="C927" s="13"/>
      <c r="D927" s="1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12"/>
      <c r="B928" s="4"/>
      <c r="C928" s="13"/>
      <c r="D928" s="1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12"/>
      <c r="B929" s="4"/>
      <c r="C929" s="13"/>
      <c r="D929" s="1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12"/>
      <c r="B930" s="4"/>
      <c r="C930" s="13"/>
      <c r="D930" s="1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12"/>
      <c r="B931" s="4"/>
      <c r="C931" s="13"/>
      <c r="D931" s="1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12"/>
      <c r="B932" s="4"/>
      <c r="C932" s="13"/>
      <c r="D932" s="1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12"/>
      <c r="B933" s="4"/>
      <c r="C933" s="13"/>
      <c r="D933" s="1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12"/>
      <c r="B934" s="4"/>
      <c r="C934" s="13"/>
      <c r="D934" s="1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12"/>
      <c r="B935" s="4"/>
      <c r="C935" s="13"/>
      <c r="D935" s="1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12"/>
      <c r="B936" s="4"/>
      <c r="C936" s="13"/>
      <c r="D936" s="1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12"/>
      <c r="B937" s="4"/>
      <c r="C937" s="13"/>
      <c r="D937" s="1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12"/>
      <c r="B938" s="4"/>
      <c r="C938" s="13"/>
      <c r="D938" s="1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12"/>
      <c r="B939" s="4"/>
      <c r="C939" s="13"/>
      <c r="D939" s="1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12"/>
      <c r="B940" s="4"/>
      <c r="C940" s="13"/>
      <c r="D940" s="1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12"/>
      <c r="B941" s="4"/>
      <c r="C941" s="13"/>
      <c r="D941" s="1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12"/>
      <c r="B942" s="4"/>
      <c r="C942" s="13"/>
      <c r="D942" s="1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12"/>
      <c r="B943" s="4"/>
      <c r="C943" s="13"/>
      <c r="D943" s="1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12"/>
      <c r="B944" s="4"/>
      <c r="C944" s="13"/>
      <c r="D944" s="1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12"/>
      <c r="B945" s="4"/>
      <c r="C945" s="13"/>
      <c r="D945" s="1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12"/>
      <c r="B946" s="4"/>
      <c r="C946" s="13"/>
      <c r="D946" s="1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12"/>
      <c r="B947" s="4"/>
      <c r="C947" s="13"/>
      <c r="D947" s="1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12"/>
      <c r="B948" s="4"/>
      <c r="C948" s="13"/>
      <c r="D948" s="1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12"/>
      <c r="B949" s="4"/>
      <c r="C949" s="13"/>
      <c r="D949" s="1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12"/>
      <c r="B950" s="4"/>
      <c r="C950" s="13"/>
      <c r="D950" s="1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12"/>
      <c r="B951" s="4"/>
      <c r="C951" s="13"/>
      <c r="D951" s="1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12"/>
      <c r="B952" s="4"/>
      <c r="C952" s="13"/>
      <c r="D952" s="1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12"/>
      <c r="B953" s="4"/>
      <c r="C953" s="13"/>
      <c r="D953" s="1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12"/>
      <c r="B954" s="4"/>
      <c r="C954" s="13"/>
      <c r="D954" s="1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12"/>
      <c r="B955" s="4"/>
      <c r="C955" s="13"/>
      <c r="D955" s="1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12"/>
      <c r="B956" s="4"/>
      <c r="C956" s="13"/>
      <c r="D956" s="1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12"/>
      <c r="B957" s="4"/>
      <c r="C957" s="13"/>
      <c r="D957" s="1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12"/>
      <c r="B958" s="4"/>
      <c r="C958" s="13"/>
      <c r="D958" s="1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12"/>
      <c r="B959" s="4"/>
      <c r="C959" s="13"/>
      <c r="D959" s="1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12"/>
      <c r="B960" s="4"/>
      <c r="C960" s="13"/>
      <c r="D960" s="1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12"/>
      <c r="B961" s="4"/>
      <c r="C961" s="13"/>
      <c r="D961" s="1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12"/>
      <c r="B962" s="4"/>
      <c r="C962" s="13"/>
      <c r="D962" s="1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12"/>
      <c r="B963" s="4"/>
      <c r="C963" s="13"/>
      <c r="D963" s="1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12"/>
      <c r="B964" s="4"/>
      <c r="C964" s="13"/>
      <c r="D964" s="1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12"/>
      <c r="B965" s="4"/>
      <c r="C965" s="13"/>
      <c r="D965" s="1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12"/>
      <c r="B966" s="4"/>
      <c r="C966" s="13"/>
      <c r="D966" s="1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12"/>
      <c r="B967" s="4"/>
      <c r="C967" s="13"/>
      <c r="D967" s="1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12"/>
      <c r="B968" s="4"/>
      <c r="C968" s="13"/>
      <c r="D968" s="1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12"/>
      <c r="B969" s="4"/>
      <c r="C969" s="13"/>
      <c r="D969" s="1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12"/>
      <c r="B970" s="4"/>
      <c r="C970" s="13"/>
      <c r="D970" s="1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12"/>
      <c r="B971" s="4"/>
      <c r="C971" s="13"/>
      <c r="D971" s="1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12"/>
      <c r="B972" s="4"/>
      <c r="C972" s="13"/>
      <c r="D972" s="1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12"/>
      <c r="B973" s="4"/>
      <c r="C973" s="13"/>
      <c r="D973" s="1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12"/>
      <c r="B974" s="4"/>
      <c r="C974" s="13"/>
      <c r="D974" s="1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12"/>
      <c r="B975" s="4"/>
      <c r="C975" s="13"/>
      <c r="D975" s="1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12"/>
      <c r="B976" s="4"/>
      <c r="C976" s="13"/>
      <c r="D976" s="1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12"/>
      <c r="B977" s="4"/>
      <c r="C977" s="13"/>
      <c r="D977" s="1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12"/>
      <c r="B978" s="4"/>
      <c r="C978" s="13"/>
      <c r="D978" s="1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12"/>
      <c r="B979" s="4"/>
      <c r="C979" s="13"/>
      <c r="D979" s="1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12"/>
      <c r="B980" s="4"/>
      <c r="C980" s="13"/>
      <c r="D980" s="1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12"/>
      <c r="B981" s="4"/>
      <c r="C981" s="13"/>
      <c r="D981" s="1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12"/>
      <c r="B982" s="4"/>
      <c r="C982" s="13"/>
      <c r="D982" s="1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12"/>
      <c r="B983" s="4"/>
      <c r="C983" s="13"/>
      <c r="D983" s="1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12"/>
      <c r="B984" s="4"/>
      <c r="C984" s="13"/>
      <c r="D984" s="1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12"/>
      <c r="B985" s="4"/>
      <c r="C985" s="13"/>
      <c r="D985" s="1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12"/>
      <c r="B986" s="4"/>
      <c r="C986" s="13"/>
      <c r="D986" s="1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12"/>
      <c r="B987" s="4"/>
      <c r="C987" s="13"/>
      <c r="D987" s="1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12"/>
      <c r="B988" s="4"/>
      <c r="C988" s="13"/>
      <c r="D988" s="1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12"/>
      <c r="B989" s="4"/>
      <c r="C989" s="13"/>
      <c r="D989" s="1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12"/>
      <c r="B990" s="4"/>
      <c r="C990" s="13"/>
      <c r="D990" s="1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12"/>
      <c r="B991" s="4"/>
      <c r="C991" s="13"/>
      <c r="D991" s="1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12"/>
      <c r="B992" s="4"/>
      <c r="C992" s="13"/>
      <c r="D992" s="1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12"/>
      <c r="B993" s="4"/>
      <c r="C993" s="13"/>
      <c r="D993" s="1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12"/>
      <c r="B994" s="4"/>
      <c r="C994" s="13"/>
      <c r="D994" s="1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12"/>
      <c r="B995" s="4"/>
      <c r="C995" s="13"/>
      <c r="D995" s="1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12"/>
      <c r="B996" s="4"/>
      <c r="C996" s="13"/>
      <c r="D996" s="1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12"/>
      <c r="B997" s="4"/>
      <c r="C997" s="13"/>
      <c r="D997" s="1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12"/>
      <c r="B998" s="4"/>
      <c r="C998" s="13"/>
      <c r="D998" s="1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12"/>
      <c r="B999" s="4"/>
      <c r="C999" s="13"/>
      <c r="D999" s="1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12"/>
      <c r="B1000" s="4"/>
      <c r="C1000" s="13"/>
      <c r="D1000" s="1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12"/>
      <c r="B1001" s="4"/>
      <c r="C1001" s="13"/>
      <c r="D1001" s="1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12"/>
      <c r="B1002" s="4"/>
      <c r="C1002" s="13"/>
      <c r="D1002" s="1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12"/>
      <c r="B1003" s="4"/>
      <c r="C1003" s="13"/>
      <c r="D1003" s="1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12"/>
      <c r="B1004" s="4"/>
      <c r="C1004" s="13"/>
      <c r="D1004" s="1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>
      <c r="A1005" s="12"/>
      <c r="B1005" s="4"/>
      <c r="C1005" s="13"/>
      <c r="D1005" s="1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>
      <c r="A1006" s="12"/>
      <c r="B1006" s="4"/>
      <c r="C1006" s="13"/>
      <c r="D1006" s="1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>
      <c r="A1007" s="12"/>
      <c r="B1007" s="4"/>
      <c r="C1007" s="13"/>
      <c r="D1007" s="1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>
      <c r="A1008" s="12"/>
      <c r="B1008" s="4"/>
      <c r="C1008" s="13"/>
      <c r="D1008" s="1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>
      <c r="A1009" s="12"/>
      <c r="B1009" s="4"/>
      <c r="C1009" s="13"/>
      <c r="D1009" s="1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>
      <c r="A1010" s="12"/>
      <c r="B1010" s="4"/>
      <c r="C1010" s="13"/>
      <c r="D1010" s="1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>
      <c r="A1011" s="12"/>
      <c r="B1011" s="4"/>
      <c r="C1011" s="13"/>
      <c r="D1011" s="1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>
      <c r="A1012" s="12"/>
      <c r="B1012" s="4"/>
      <c r="C1012" s="13"/>
      <c r="D1012" s="1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>
      <c r="A1013" s="12"/>
      <c r="B1013" s="4"/>
      <c r="C1013" s="13"/>
      <c r="D1013" s="1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>
      <c r="A1014" s="12"/>
      <c r="B1014" s="4"/>
      <c r="C1014" s="13"/>
      <c r="D1014" s="1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>
      <c r="A1015" s="12"/>
      <c r="B1015" s="4"/>
      <c r="C1015" s="13"/>
      <c r="D1015" s="1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>
      <c r="A1016" s="12"/>
      <c r="B1016" s="4"/>
      <c r="C1016" s="13"/>
      <c r="D1016" s="1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>
      <c r="A1017" s="12"/>
      <c r="B1017" s="4"/>
      <c r="C1017" s="13"/>
      <c r="D1017" s="1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>
      <c r="A1018" s="12"/>
      <c r="B1018" s="4"/>
      <c r="C1018" s="13"/>
      <c r="D1018" s="1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>
      <c r="A1019" s="12"/>
      <c r="B1019" s="4"/>
      <c r="C1019" s="13"/>
      <c r="D1019" s="1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>
      <c r="A1020" s="12"/>
      <c r="B1020" s="4"/>
      <c r="C1020" s="13"/>
      <c r="D1020" s="1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>
      <c r="A1021" s="12"/>
      <c r="B1021" s="4"/>
      <c r="C1021" s="13"/>
      <c r="D1021" s="1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>
      <c r="A1022" s="12"/>
      <c r="B1022" s="4"/>
      <c r="C1022" s="13"/>
      <c r="D1022" s="1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>
      <c r="A1023" s="12"/>
      <c r="B1023" s="4"/>
      <c r="C1023" s="13"/>
      <c r="D1023" s="1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>
      <c r="A1024" s="12"/>
      <c r="B1024" s="4"/>
      <c r="C1024" s="13"/>
      <c r="D1024" s="1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>
      <c r="A1025" s="12"/>
      <c r="B1025" s="4"/>
      <c r="C1025" s="13"/>
      <c r="D1025" s="1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>
      <c r="A1026" s="12"/>
      <c r="B1026" s="4"/>
      <c r="C1026" s="13"/>
      <c r="D1026" s="1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>
      <c r="A1027" s="12"/>
      <c r="B1027" s="4"/>
      <c r="C1027" s="13"/>
      <c r="D1027" s="1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>
      <c r="A1028" s="12"/>
      <c r="B1028" s="4"/>
      <c r="C1028" s="13"/>
      <c r="D1028" s="1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>
      <c r="A1029" s="12"/>
      <c r="B1029" s="4"/>
      <c r="C1029" s="13"/>
      <c r="D1029" s="1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>
      <c r="A1030" s="12"/>
      <c r="B1030" s="4"/>
      <c r="C1030" s="13"/>
      <c r="D1030" s="1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>
      <c r="A1031" s="12"/>
      <c r="B1031" s="4"/>
      <c r="C1031" s="13"/>
      <c r="D1031" s="1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>
      <c r="A1032" s="12"/>
      <c r="B1032" s="4"/>
      <c r="C1032" s="13"/>
      <c r="D1032" s="1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>
      <c r="A1033" s="12"/>
      <c r="B1033" s="4"/>
      <c r="C1033" s="13"/>
      <c r="D1033" s="1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>
      <c r="A1034" s="12"/>
      <c r="B1034" s="4"/>
      <c r="C1034" s="13"/>
      <c r="D1034" s="1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>
      <c r="A1035" s="12"/>
      <c r="B1035" s="4"/>
      <c r="C1035" s="13"/>
      <c r="D1035" s="1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>
      <c r="A1036" s="12"/>
      <c r="B1036" s="4"/>
      <c r="C1036" s="13"/>
      <c r="D1036" s="1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>
      <c r="A1037" s="12"/>
      <c r="B1037" s="4"/>
      <c r="C1037" s="13"/>
      <c r="D1037" s="1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>
      <c r="A1038" s="12"/>
      <c r="B1038" s="4"/>
      <c r="C1038" s="13"/>
      <c r="D1038" s="1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>
      <c r="A1039" s="12"/>
      <c r="B1039" s="4"/>
      <c r="C1039" s="13"/>
      <c r="D1039" s="1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>
      <c r="A1040" s="12"/>
      <c r="B1040" s="4"/>
      <c r="C1040" s="13"/>
      <c r="D1040" s="1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>
      <c r="A1041" s="12"/>
      <c r="B1041" s="4"/>
      <c r="C1041" s="13"/>
      <c r="D1041" s="1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>
      <c r="A1042" s="12"/>
      <c r="B1042" s="4"/>
      <c r="C1042" s="13"/>
      <c r="D1042" s="1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>
      <c r="A1043" s="12"/>
      <c r="B1043" s="4"/>
      <c r="C1043" s="13"/>
      <c r="D1043" s="1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>
      <c r="A1044" s="12"/>
      <c r="B1044" s="4"/>
      <c r="C1044" s="13"/>
      <c r="D1044" s="1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>
      <c r="A1045" s="12"/>
      <c r="B1045" s="4"/>
      <c r="C1045" s="13"/>
      <c r="D1045" s="1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>
      <c r="A1046" s="12"/>
      <c r="B1046" s="4"/>
      <c r="C1046" s="13"/>
      <c r="D1046" s="1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>
      <c r="A1047" s="12"/>
      <c r="B1047" s="4"/>
      <c r="C1047" s="13"/>
      <c r="D1047" s="1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>
      <c r="A1048" s="12"/>
      <c r="B1048" s="4"/>
      <c r="C1048" s="13"/>
      <c r="D1048" s="1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>
      <c r="A1049" s="12"/>
      <c r="B1049" s="4"/>
      <c r="C1049" s="13"/>
      <c r="D1049" s="1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>
      <c r="A1050" s="12"/>
      <c r="B1050" s="4"/>
      <c r="C1050" s="13"/>
      <c r="D1050" s="1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>
      <c r="A1051" s="12"/>
      <c r="B1051" s="4"/>
      <c r="C1051" s="13"/>
      <c r="D1051" s="1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>
      <c r="A1052" s="12"/>
      <c r="B1052" s="4"/>
      <c r="C1052" s="13"/>
      <c r="D1052" s="1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>
      <c r="A1053" s="12"/>
      <c r="B1053" s="4"/>
      <c r="C1053" s="13"/>
      <c r="D1053" s="1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>
      <c r="A1054" s="12"/>
      <c r="B1054" s="4"/>
      <c r="C1054" s="13"/>
      <c r="D1054" s="1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>
      <c r="A1055" s="12"/>
      <c r="B1055" s="4"/>
      <c r="C1055" s="13"/>
      <c r="D1055" s="1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>
      <c r="A1056" s="12"/>
      <c r="B1056" s="4"/>
      <c r="C1056" s="13"/>
      <c r="D1056" s="1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>
      <c r="A1057" s="12"/>
      <c r="B1057" s="4"/>
      <c r="C1057" s="13"/>
      <c r="D1057" s="1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>
      <c r="A1058" s="12"/>
      <c r="B1058" s="4"/>
      <c r="C1058" s="13"/>
      <c r="D1058" s="1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>
      <c r="A1059" s="12"/>
      <c r="B1059" s="4"/>
      <c r="C1059" s="13"/>
      <c r="D1059" s="1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>
      <c r="A1060" s="12"/>
      <c r="B1060" s="4"/>
      <c r="C1060" s="13"/>
      <c r="D1060" s="1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>
      <c r="A1061" s="12"/>
      <c r="B1061" s="4"/>
      <c r="C1061" s="13"/>
      <c r="D1061" s="1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>
      <c r="A1062" s="12"/>
      <c r="B1062" s="4"/>
      <c r="C1062" s="13"/>
      <c r="D1062" s="1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>
      <c r="A1063" s="12"/>
      <c r="B1063" s="4"/>
      <c r="C1063" s="13"/>
      <c r="D1063" s="1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>
      <c r="A1064" s="12"/>
      <c r="B1064" s="4"/>
      <c r="C1064" s="13"/>
      <c r="D1064" s="1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>
      <c r="A1065" s="12"/>
      <c r="B1065" s="4"/>
      <c r="C1065" s="13"/>
      <c r="D1065" s="1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>
      <c r="A1066" s="12"/>
      <c r="B1066" s="4"/>
      <c r="C1066" s="13"/>
      <c r="D1066" s="1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>
      <c r="A1067" s="12"/>
      <c r="B1067" s="4"/>
      <c r="C1067" s="13"/>
      <c r="D1067" s="1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>
      <c r="A1068" s="12"/>
      <c r="B1068" s="4"/>
      <c r="C1068" s="13"/>
      <c r="D1068" s="1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>
      <c r="A1069" s="12"/>
      <c r="B1069" s="4"/>
      <c r="C1069" s="13"/>
      <c r="D1069" s="1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>
      <c r="A1070" s="12"/>
      <c r="B1070" s="4"/>
      <c r="C1070" s="13"/>
      <c r="D1070" s="1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>
      <c r="A1071" s="12"/>
      <c r="B1071" s="4"/>
      <c r="C1071" s="13"/>
      <c r="D1071" s="1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>
      <c r="A1072" s="12"/>
      <c r="B1072" s="4"/>
      <c r="C1072" s="13"/>
      <c r="D1072" s="1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>
      <c r="A1073" s="12"/>
      <c r="B1073" s="4"/>
      <c r="C1073" s="13"/>
      <c r="D1073" s="1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>
      <c r="A1074" s="12"/>
      <c r="B1074" s="4"/>
      <c r="C1074" s="13"/>
      <c r="D1074" s="1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>
      <c r="A1075" s="12"/>
      <c r="B1075" s="4"/>
      <c r="C1075" s="13"/>
      <c r="D1075" s="1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>
      <c r="A1076" s="12"/>
      <c r="B1076" s="4"/>
      <c r="C1076" s="13"/>
      <c r="D1076" s="1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>
      <c r="A1077" s="12"/>
      <c r="B1077" s="4"/>
      <c r="C1077" s="13"/>
      <c r="D1077" s="1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>
      <c r="A1078" s="12"/>
      <c r="B1078" s="4"/>
      <c r="C1078" s="13"/>
      <c r="D1078" s="1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>
      <c r="A1079" s="12"/>
      <c r="B1079" s="4"/>
      <c r="C1079" s="13"/>
      <c r="D1079" s="1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>
      <c r="A1080" s="12"/>
      <c r="B1080" s="4"/>
      <c r="C1080" s="13"/>
      <c r="D1080" s="1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>
      <c r="A1081" s="12"/>
      <c r="B1081" s="4"/>
      <c r="C1081" s="13"/>
      <c r="D1081" s="1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>
      <c r="A1082" s="12"/>
      <c r="B1082" s="4"/>
      <c r="C1082" s="13"/>
      <c r="D1082" s="1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>
      <c r="A1083" s="12"/>
      <c r="B1083" s="4"/>
      <c r="C1083" s="13"/>
      <c r="D1083" s="1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>
      <c r="A1084" s="12"/>
      <c r="B1084" s="4"/>
      <c r="C1084" s="13"/>
      <c r="D1084" s="1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>
      <c r="A1085" s="12"/>
      <c r="B1085" s="4"/>
      <c r="C1085" s="13"/>
      <c r="D1085" s="1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>
      <c r="A1086" s="12"/>
      <c r="B1086" s="4"/>
      <c r="C1086" s="13"/>
      <c r="D1086" s="1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>
      <c r="A1087" s="12"/>
      <c r="B1087" s="4"/>
      <c r="C1087" s="13"/>
      <c r="D1087" s="1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>
      <c r="A1088" s="12"/>
      <c r="B1088" s="4"/>
      <c r="C1088" s="13"/>
      <c r="D1088" s="1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>
      <c r="A1089" s="12"/>
      <c r="B1089" s="4"/>
      <c r="C1089" s="13"/>
      <c r="D1089" s="1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>
      <c r="A1090" s="12"/>
      <c r="B1090" s="4"/>
      <c r="C1090" s="13"/>
      <c r="D1090" s="1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>
      <c r="A1091" s="12"/>
      <c r="B1091" s="4"/>
      <c r="C1091" s="13"/>
      <c r="D1091" s="1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>
      <c r="A1092" s="12"/>
      <c r="B1092" s="4"/>
      <c r="C1092" s="13"/>
      <c r="D1092" s="1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>
      <c r="A1093" s="12"/>
      <c r="B1093" s="4"/>
      <c r="C1093" s="13"/>
      <c r="D1093" s="1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>
      <c r="A1094" s="12"/>
      <c r="B1094" s="4"/>
      <c r="C1094" s="13"/>
      <c r="D1094" s="1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>
      <c r="A1095" s="12"/>
      <c r="B1095" s="4"/>
      <c r="C1095" s="13"/>
      <c r="D1095" s="1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>
      <c r="A1096" s="12"/>
      <c r="B1096" s="4"/>
      <c r="C1096" s="13"/>
      <c r="D1096" s="1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>
      <c r="A1097" s="12"/>
      <c r="B1097" s="4"/>
      <c r="C1097" s="13"/>
      <c r="D1097" s="1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>
      <c r="A1098" s="12"/>
      <c r="B1098" s="4"/>
      <c r="C1098" s="13"/>
      <c r="D1098" s="1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>
      <c r="A1099" s="12"/>
      <c r="B1099" s="4"/>
      <c r="C1099" s="13"/>
      <c r="D1099" s="1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>
      <c r="A1100" s="12"/>
      <c r="B1100" s="4"/>
      <c r="C1100" s="13"/>
      <c r="D1100" s="1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>
      <c r="A1101" s="12"/>
      <c r="B1101" s="4"/>
      <c r="C1101" s="13"/>
      <c r="D1101" s="1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>
      <c r="A1102" s="12"/>
      <c r="B1102" s="4"/>
      <c r="C1102" s="13"/>
      <c r="D1102" s="1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>
      <c r="A1103" s="12"/>
      <c r="B1103" s="4"/>
      <c r="C1103" s="13"/>
      <c r="D1103" s="1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>
      <c r="A1104" s="12"/>
      <c r="B1104" s="4"/>
      <c r="C1104" s="13"/>
      <c r="D1104" s="1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>
      <c r="A1105" s="12"/>
      <c r="B1105" s="4"/>
      <c r="C1105" s="13"/>
      <c r="D1105" s="1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>
      <c r="A1106" s="12"/>
      <c r="B1106" s="4"/>
      <c r="C1106" s="13"/>
      <c r="D1106" s="1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>
      <c r="A1107" s="12"/>
      <c r="B1107" s="4"/>
      <c r="C1107" s="13"/>
      <c r="D1107" s="1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>
      <c r="A1108" s="12"/>
      <c r="B1108" s="4"/>
      <c r="C1108" s="13"/>
      <c r="D1108" s="1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>
      <c r="A1109" s="12"/>
      <c r="B1109" s="4"/>
      <c r="C1109" s="13"/>
      <c r="D1109" s="1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>
      <c r="A1110" s="12"/>
      <c r="B1110" s="4"/>
      <c r="C1110" s="13"/>
      <c r="D1110" s="1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>
      <c r="A1111" s="12"/>
      <c r="B1111" s="4"/>
      <c r="C1111" s="13"/>
      <c r="D1111" s="1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>
      <c r="A1112" s="12"/>
      <c r="B1112" s="4"/>
      <c r="C1112" s="13"/>
      <c r="D1112" s="1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>
      <c r="A1113" s="12"/>
      <c r="B1113" s="4"/>
      <c r="C1113" s="13"/>
      <c r="D1113" s="1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>
      <c r="A1114" s="12"/>
      <c r="B1114" s="4"/>
      <c r="C1114" s="13"/>
      <c r="D1114" s="1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>
      <c r="A1115" s="12"/>
      <c r="B1115" s="4"/>
      <c r="C1115" s="13"/>
      <c r="D1115" s="1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>
      <c r="A1116" s="12"/>
      <c r="B1116" s="4"/>
      <c r="C1116" s="13"/>
      <c r="D1116" s="1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>
      <c r="A1117" s="12"/>
      <c r="B1117" s="4"/>
      <c r="C1117" s="13"/>
      <c r="D1117" s="1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>
      <c r="A1118" s="12"/>
      <c r="B1118" s="4"/>
      <c r="C1118" s="13"/>
      <c r="D1118" s="1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>
      <c r="A1119" s="12"/>
      <c r="B1119" s="4"/>
      <c r="C1119" s="13"/>
      <c r="D1119" s="1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>
      <c r="A1120" s="12"/>
      <c r="B1120" s="4"/>
      <c r="C1120" s="13"/>
      <c r="D1120" s="1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>
      <c r="A1121" s="12"/>
      <c r="B1121" s="4"/>
      <c r="C1121" s="13"/>
      <c r="D1121" s="1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>
      <c r="A1122" s="12"/>
      <c r="B1122" s="4"/>
      <c r="C1122" s="13"/>
      <c r="D1122" s="1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>
      <c r="A1123" s="12"/>
      <c r="B1123" s="4"/>
      <c r="C1123" s="13"/>
      <c r="D1123" s="1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>
      <c r="A1124" s="12"/>
      <c r="B1124" s="4"/>
      <c r="C1124" s="13"/>
      <c r="D1124" s="1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>
      <c r="A1125" s="12"/>
      <c r="B1125" s="4"/>
      <c r="C1125" s="13"/>
      <c r="D1125" s="1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>
      <c r="A1126" s="12"/>
      <c r="B1126" s="4"/>
      <c r="C1126" s="13"/>
      <c r="D1126" s="1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>
      <c r="A1127" s="12"/>
      <c r="B1127" s="4"/>
      <c r="C1127" s="13"/>
      <c r="D1127" s="1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>
      <c r="A1128" s="12"/>
      <c r="B1128" s="4"/>
      <c r="C1128" s="13"/>
      <c r="D1128" s="1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>
      <c r="A1129" s="12"/>
      <c r="B1129" s="4"/>
      <c r="C1129" s="13"/>
      <c r="D1129" s="1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>
      <c r="A1130" s="12"/>
      <c r="B1130" s="4"/>
      <c r="C1130" s="13"/>
      <c r="D1130" s="1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>
      <c r="A1131" s="12"/>
      <c r="B1131" s="4"/>
      <c r="C1131" s="13"/>
      <c r="D1131" s="1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>
      <c r="A1132" s="12"/>
      <c r="B1132" s="4"/>
      <c r="C1132" s="13"/>
      <c r="D1132" s="1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>
      <c r="A1133" s="12"/>
      <c r="B1133" s="4"/>
      <c r="C1133" s="13"/>
      <c r="D1133" s="1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>
      <c r="A1134" s="12"/>
      <c r="B1134" s="4"/>
      <c r="C1134" s="13"/>
      <c r="D1134" s="1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>
      <c r="A1135" s="12"/>
      <c r="B1135" s="4"/>
      <c r="C1135" s="13"/>
      <c r="D1135" s="1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>
      <c r="A1136" s="12"/>
      <c r="B1136" s="4"/>
      <c r="C1136" s="13"/>
      <c r="D1136" s="1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>
      <c r="A1137" s="12"/>
      <c r="B1137" s="4"/>
      <c r="C1137" s="13"/>
      <c r="D1137" s="1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>
      <c r="A1138" s="12"/>
      <c r="B1138" s="4"/>
      <c r="C1138" s="13"/>
      <c r="D1138" s="1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>
      <c r="A1139" s="12"/>
      <c r="B1139" s="4"/>
      <c r="C1139" s="13"/>
      <c r="D1139" s="1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>
      <c r="A1140" s="12"/>
      <c r="B1140" s="4"/>
      <c r="C1140" s="13"/>
      <c r="D1140" s="1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>
      <c r="A1141" s="12"/>
      <c r="B1141" s="4"/>
      <c r="C1141" s="13"/>
      <c r="D1141" s="1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>
      <c r="A1142" s="12"/>
      <c r="B1142" s="4"/>
      <c r="C1142" s="13"/>
      <c r="D1142" s="1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>
      <c r="A1143" s="12"/>
      <c r="B1143" s="4"/>
      <c r="C1143" s="13"/>
      <c r="D1143" s="1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>
      <c r="A1144" s="12"/>
      <c r="B1144" s="4"/>
      <c r="C1144" s="13"/>
      <c r="D1144" s="1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>
      <c r="A1145" s="12"/>
      <c r="B1145" s="4"/>
      <c r="C1145" s="13"/>
      <c r="D1145" s="1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>
      <c r="A1146" s="12"/>
      <c r="B1146" s="4"/>
      <c r="C1146" s="13"/>
      <c r="D1146" s="1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>
      <c r="A1147" s="12"/>
      <c r="B1147" s="4"/>
      <c r="C1147" s="13"/>
      <c r="D1147" s="1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>
      <c r="A1148" s="12"/>
      <c r="B1148" s="4"/>
      <c r="C1148" s="13"/>
      <c r="D1148" s="1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>
      <c r="A1149" s="12"/>
      <c r="B1149" s="4"/>
      <c r="C1149" s="13"/>
      <c r="D1149" s="1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>
      <c r="A1150" s="12"/>
      <c r="B1150" s="4"/>
      <c r="C1150" s="13"/>
      <c r="D1150" s="1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>
      <c r="A1151" s="12"/>
      <c r="B1151" s="4"/>
      <c r="C1151" s="13"/>
      <c r="D1151" s="1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>
      <c r="A1152" s="12"/>
      <c r="B1152" s="4"/>
      <c r="C1152" s="13"/>
      <c r="D1152" s="1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>
      <c r="A1153" s="12"/>
      <c r="B1153" s="4"/>
      <c r="C1153" s="13"/>
      <c r="D1153" s="1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>
      <c r="A1154" s="12"/>
      <c r="B1154" s="4"/>
      <c r="C1154" s="13"/>
      <c r="D1154" s="1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>
      <c r="A1155" s="12"/>
      <c r="B1155" s="4"/>
      <c r="C1155" s="13"/>
      <c r="D1155" s="1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>
      <c r="A1156" s="12"/>
      <c r="B1156" s="4"/>
      <c r="C1156" s="13"/>
      <c r="D1156" s="1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>
      <c r="A1157" s="12"/>
      <c r="B1157" s="4"/>
      <c r="C1157" s="13"/>
      <c r="D1157" s="1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>
      <c r="A1158" s="12"/>
      <c r="B1158" s="4"/>
      <c r="C1158" s="13"/>
      <c r="D1158" s="1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>
      <c r="A1159" s="12"/>
      <c r="B1159" s="4"/>
      <c r="C1159" s="13"/>
      <c r="D1159" s="1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>
      <c r="A1160" s="12"/>
      <c r="B1160" s="4"/>
      <c r="C1160" s="13"/>
      <c r="D1160" s="1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>
      <c r="A1161" s="12"/>
      <c r="B1161" s="4"/>
      <c r="C1161" s="13"/>
      <c r="D1161" s="1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>
      <c r="A1162" s="12"/>
      <c r="B1162" s="4"/>
      <c r="C1162" s="13"/>
      <c r="D1162" s="1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>
      <c r="A1163" s="12"/>
      <c r="B1163" s="4"/>
      <c r="C1163" s="13"/>
      <c r="D1163" s="1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>
      <c r="A1164" s="12"/>
      <c r="B1164" s="4"/>
      <c r="C1164" s="13"/>
      <c r="D1164" s="1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>
      <c r="A1165" s="12"/>
      <c r="B1165" s="4"/>
      <c r="C1165" s="13"/>
      <c r="D1165" s="1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>
      <c r="A1166" s="12"/>
      <c r="B1166" s="4"/>
      <c r="C1166" s="13"/>
      <c r="D1166" s="1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>
      <c r="A1167" s="12"/>
      <c r="B1167" s="4"/>
      <c r="C1167" s="13"/>
      <c r="D1167" s="1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>
      <c r="A1168" s="12"/>
      <c r="B1168" s="4"/>
      <c r="C1168" s="13"/>
      <c r="D1168" s="1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>
      <c r="A1169" s="12"/>
      <c r="B1169" s="4"/>
      <c r="C1169" s="13"/>
      <c r="D1169" s="1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>
      <c r="A1170" s="12"/>
      <c r="B1170" s="4"/>
      <c r="C1170" s="13"/>
      <c r="D1170" s="1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>
      <c r="A1171" s="12"/>
      <c r="B1171" s="4"/>
      <c r="C1171" s="13"/>
      <c r="D1171" s="1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>
      <c r="A1172" s="12"/>
      <c r="B1172" s="4"/>
      <c r="C1172" s="13"/>
      <c r="D1172" s="1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>
      <c r="A1173" s="12"/>
      <c r="B1173" s="4"/>
      <c r="C1173" s="13"/>
      <c r="D1173" s="1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>
      <c r="A1174" s="12"/>
      <c r="B1174" s="4"/>
      <c r="C1174" s="13"/>
      <c r="D1174" s="1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>
      <c r="A1175" s="12"/>
      <c r="B1175" s="4"/>
      <c r="C1175" s="13"/>
      <c r="D1175" s="1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>
      <c r="A1176" s="12"/>
      <c r="B1176" s="4"/>
      <c r="C1176" s="13"/>
      <c r="D1176" s="1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>
      <c r="A1177" s="12"/>
      <c r="B1177" s="4"/>
      <c r="C1177" s="13"/>
      <c r="D1177" s="1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>
      <c r="A1178" s="12"/>
      <c r="B1178" s="4"/>
      <c r="C1178" s="13"/>
      <c r="D1178" s="1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>
      <c r="A1179" s="12"/>
      <c r="B1179" s="4"/>
      <c r="C1179" s="13"/>
      <c r="D1179" s="1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>
      <c r="A1180" s="12"/>
      <c r="B1180" s="4"/>
      <c r="C1180" s="13"/>
      <c r="D1180" s="1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>
      <c r="A1181" s="12"/>
      <c r="B1181" s="4"/>
      <c r="C1181" s="13"/>
      <c r="D1181" s="1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>
      <c r="A1182" s="12"/>
      <c r="B1182" s="4"/>
      <c r="C1182" s="13"/>
      <c r="D1182" s="1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>
      <c r="A1183" s="12"/>
      <c r="B1183" s="4"/>
      <c r="C1183" s="13"/>
      <c r="D1183" s="1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>
      <c r="A1184" s="12"/>
      <c r="B1184" s="4"/>
      <c r="C1184" s="13"/>
      <c r="D1184" s="1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>
      <c r="A1185" s="12"/>
      <c r="B1185" s="4"/>
      <c r="C1185" s="13"/>
      <c r="D1185" s="1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>
      <c r="A1186" s="12"/>
      <c r="B1186" s="4"/>
      <c r="C1186" s="13"/>
      <c r="D1186" s="1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>
      <c r="A1187" s="12"/>
      <c r="B1187" s="4"/>
      <c r="C1187" s="13"/>
      <c r="D1187" s="1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>
      <c r="A1188" s="12"/>
      <c r="B1188" s="4"/>
      <c r="C1188" s="13"/>
      <c r="D1188" s="1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>
      <c r="A1189" s="12"/>
      <c r="B1189" s="4"/>
      <c r="C1189" s="13"/>
      <c r="D1189" s="1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>
      <c r="A1190" s="12"/>
      <c r="B1190" s="4"/>
      <c r="C1190" s="13"/>
      <c r="D1190" s="1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>
      <c r="A1191" s="12"/>
      <c r="B1191" s="4"/>
      <c r="C1191" s="13"/>
      <c r="D1191" s="1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>
      <c r="A1192" s="12"/>
      <c r="B1192" s="4"/>
      <c r="C1192" s="13"/>
      <c r="D1192" s="1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>
      <c r="A1193" s="12"/>
      <c r="B1193" s="4"/>
      <c r="C1193" s="13"/>
      <c r="D1193" s="1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>
      <c r="A1194" s="12"/>
      <c r="B1194" s="4"/>
      <c r="C1194" s="13"/>
      <c r="D1194" s="1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>
      <c r="A1195" s="12"/>
      <c r="B1195" s="4"/>
      <c r="C1195" s="13"/>
      <c r="D1195" s="1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>
      <c r="A1196" s="12"/>
      <c r="B1196" s="4"/>
      <c r="C1196" s="13"/>
      <c r="D1196" s="1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>
      <c r="A1197" s="12"/>
      <c r="B1197" s="4"/>
      <c r="C1197" s="13"/>
      <c r="D1197" s="1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>
      <c r="A1198" s="12"/>
      <c r="B1198" s="4"/>
      <c r="C1198" s="13"/>
      <c r="D1198" s="1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>
      <c r="A1199" s="12"/>
      <c r="B1199" s="4"/>
      <c r="C1199" s="13"/>
      <c r="D1199" s="1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>
      <c r="A1200" s="12"/>
      <c r="B1200" s="4"/>
      <c r="C1200" s="13"/>
      <c r="D1200" s="1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>
      <c r="A1201" s="12"/>
      <c r="B1201" s="4"/>
      <c r="C1201" s="13"/>
      <c r="D1201" s="1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>
      <c r="A1202" s="12"/>
      <c r="B1202" s="4"/>
      <c r="C1202" s="13"/>
      <c r="D1202" s="1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>
      <c r="A1203" s="12"/>
      <c r="B1203" s="4"/>
      <c r="C1203" s="13"/>
      <c r="D1203" s="1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>
      <c r="A1204" s="12"/>
      <c r="B1204" s="4"/>
      <c r="C1204" s="13"/>
      <c r="D1204" s="1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>
      <c r="A1205" s="12"/>
      <c r="B1205" s="4"/>
      <c r="C1205" s="13"/>
      <c r="D1205" s="1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>
      <c r="A1206" s="12"/>
      <c r="B1206" s="4"/>
      <c r="C1206" s="13"/>
      <c r="D1206" s="1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>
      <c r="A1207" s="12"/>
      <c r="B1207" s="4"/>
      <c r="C1207" s="13"/>
      <c r="D1207" s="1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>
      <c r="A1208" s="12"/>
      <c r="B1208" s="4"/>
      <c r="C1208" s="13"/>
      <c r="D1208" s="1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>
      <c r="A1209" s="12"/>
      <c r="B1209" s="4"/>
      <c r="C1209" s="13"/>
      <c r="D1209" s="1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>
      <c r="A1210" s="12"/>
      <c r="B1210" s="4"/>
      <c r="C1210" s="13"/>
      <c r="D1210" s="1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>
      <c r="A1211" s="12"/>
      <c r="B1211" s="4"/>
      <c r="C1211" s="13"/>
      <c r="D1211" s="1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>
      <c r="A1212" s="12"/>
      <c r="B1212" s="4"/>
      <c r="C1212" s="13"/>
      <c r="D1212" s="1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>
      <c r="A1213" s="12"/>
      <c r="B1213" s="4"/>
      <c r="C1213" s="13"/>
      <c r="D1213" s="1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>
      <c r="A1214" s="12"/>
      <c r="B1214" s="4"/>
      <c r="C1214" s="13"/>
      <c r="D1214" s="1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>
      <c r="A1215" s="12"/>
      <c r="B1215" s="4"/>
      <c r="C1215" s="13"/>
      <c r="D1215" s="1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>
      <c r="A1216" s="12"/>
      <c r="B1216" s="4"/>
      <c r="C1216" s="13"/>
      <c r="D1216" s="1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>
      <c r="A1217" s="12"/>
      <c r="B1217" s="4"/>
      <c r="C1217" s="13"/>
      <c r="D1217" s="1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>
      <c r="A1218" s="12"/>
      <c r="B1218" s="4"/>
      <c r="C1218" s="13"/>
      <c r="D1218" s="1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>
      <c r="A1219" s="12"/>
      <c r="B1219" s="4"/>
      <c r="C1219" s="13"/>
      <c r="D1219" s="1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>
      <c r="A1220" s="12"/>
      <c r="B1220" s="4"/>
      <c r="C1220" s="13"/>
      <c r="D1220" s="1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>
      <c r="A1221" s="12"/>
      <c r="B1221" s="4"/>
      <c r="C1221" s="13"/>
      <c r="D1221" s="1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>
      <c r="A1222" s="12"/>
      <c r="B1222" s="4"/>
      <c r="C1222" s="13"/>
      <c r="D1222" s="1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>
      <c r="A1223" s="12"/>
      <c r="B1223" s="4"/>
      <c r="C1223" s="13"/>
      <c r="D1223" s="1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>
      <c r="A1224" s="12"/>
      <c r="B1224" s="4"/>
      <c r="C1224" s="13"/>
      <c r="D1224" s="1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>
      <c r="A1225" s="12"/>
      <c r="B1225" s="4"/>
      <c r="C1225" s="13"/>
      <c r="D1225" s="1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>
      <c r="A1226" s="12"/>
      <c r="B1226" s="4"/>
      <c r="C1226" s="13"/>
      <c r="D1226" s="1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>
      <c r="A1227" s="12"/>
      <c r="B1227" s="4"/>
      <c r="C1227" s="13"/>
      <c r="D1227" s="1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>
      <c r="A1228" s="12"/>
      <c r="B1228" s="4"/>
      <c r="C1228" s="13"/>
      <c r="D1228" s="1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>
      <c r="A1229" s="12"/>
      <c r="B1229" s="4"/>
      <c r="C1229" s="13"/>
      <c r="D1229" s="1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>
      <c r="A1230" s="12"/>
      <c r="B1230" s="4"/>
      <c r="C1230" s="13"/>
      <c r="D1230" s="1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>
      <c r="A1231" s="12"/>
      <c r="B1231" s="4"/>
      <c r="C1231" s="13"/>
      <c r="D1231" s="1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>
      <c r="A1232" s="12"/>
      <c r="B1232" s="4"/>
      <c r="C1232" s="13"/>
      <c r="D1232" s="1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>
      <c r="A1233" s="12"/>
      <c r="B1233" s="4"/>
      <c r="C1233" s="13"/>
      <c r="D1233" s="1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>
      <c r="A1234" s="12"/>
      <c r="B1234" s="4"/>
      <c r="C1234" s="13"/>
      <c r="D1234" s="1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>
      <c r="A1235" s="12"/>
      <c r="B1235" s="4"/>
      <c r="C1235" s="13"/>
      <c r="D1235" s="1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>
      <c r="A1236" s="12"/>
      <c r="B1236" s="4"/>
      <c r="C1236" s="13"/>
      <c r="D1236" s="1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>
      <c r="A1237" s="12"/>
      <c r="B1237" s="4"/>
      <c r="C1237" s="13"/>
      <c r="D1237" s="1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>
      <c r="A1238" s="12"/>
      <c r="B1238" s="4"/>
      <c r="C1238" s="13"/>
      <c r="D1238" s="1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>
      <c r="A1239" s="12"/>
      <c r="B1239" s="4"/>
      <c r="C1239" s="13"/>
      <c r="D1239" s="1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>
      <c r="A1240" s="12"/>
      <c r="B1240" s="4"/>
      <c r="C1240" s="13"/>
      <c r="D1240" s="1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>
      <c r="A1241" s="12"/>
      <c r="B1241" s="4"/>
      <c r="C1241" s="13"/>
      <c r="D1241" s="1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>
      <c r="A1242" s="12"/>
      <c r="B1242" s="4"/>
      <c r="C1242" s="13"/>
      <c r="D1242" s="1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>
      <c r="A1243" s="12"/>
      <c r="B1243" s="4"/>
      <c r="C1243" s="13"/>
      <c r="D1243" s="1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>
      <c r="A1244" s="12"/>
      <c r="B1244" s="4"/>
      <c r="C1244" s="13"/>
      <c r="D1244" s="1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>
      <c r="A1245" s="12"/>
      <c r="B1245" s="4"/>
      <c r="C1245" s="13"/>
      <c r="D1245" s="1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>
      <c r="A1246" s="12"/>
      <c r="B1246" s="4"/>
      <c r="C1246" s="13"/>
      <c r="D1246" s="1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>
      <c r="A1247" s="12"/>
      <c r="B1247" s="4"/>
      <c r="C1247" s="13"/>
      <c r="D1247" s="1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>
      <c r="A1248" s="12"/>
      <c r="B1248" s="4"/>
      <c r="C1248" s="13"/>
      <c r="D1248" s="1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>
      <c r="A1249" s="12"/>
      <c r="B1249" s="4"/>
      <c r="C1249" s="13"/>
      <c r="D1249" s="1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>
      <c r="A1250" s="12"/>
      <c r="B1250" s="4"/>
      <c r="C1250" s="13"/>
      <c r="D1250" s="1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>
      <c r="A1251" s="12"/>
      <c r="B1251" s="4"/>
      <c r="C1251" s="13"/>
      <c r="D1251" s="1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>
      <c r="A1252" s="12"/>
      <c r="B1252" s="4"/>
      <c r="C1252" s="13"/>
      <c r="D1252" s="1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>
      <c r="A1253" s="12"/>
      <c r="B1253" s="4"/>
      <c r="C1253" s="13"/>
      <c r="D1253" s="1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>
      <c r="A1254" s="12"/>
      <c r="B1254" s="4"/>
      <c r="C1254" s="13"/>
      <c r="D1254" s="1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>
      <c r="A1255" s="12"/>
      <c r="B1255" s="4"/>
      <c r="C1255" s="13"/>
      <c r="D1255" s="1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>
      <c r="A1256" s="12"/>
      <c r="B1256" s="4"/>
      <c r="C1256" s="13"/>
      <c r="D1256" s="1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>
      <c r="A1257" s="12"/>
      <c r="B1257" s="4"/>
      <c r="C1257" s="13"/>
      <c r="D1257" s="1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>
      <c r="A1258" s="12"/>
      <c r="B1258" s="4"/>
      <c r="C1258" s="13"/>
      <c r="D1258" s="1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>
      <c r="A1259" s="12"/>
      <c r="B1259" s="4"/>
      <c r="C1259" s="13"/>
      <c r="D1259" s="1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>
      <c r="A1260" s="12"/>
      <c r="B1260" s="4"/>
      <c r="C1260" s="13"/>
      <c r="D1260" s="1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>
      <c r="A1261" s="12"/>
      <c r="B1261" s="4"/>
      <c r="C1261" s="13"/>
      <c r="D1261" s="1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>
      <c r="A1262" s="12"/>
      <c r="B1262" s="4"/>
      <c r="C1262" s="13"/>
      <c r="D1262" s="1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>
      <c r="A1263" s="12"/>
      <c r="B1263" s="4"/>
      <c r="C1263" s="13"/>
      <c r="D1263" s="1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>
      <c r="A1264" s="12"/>
      <c r="B1264" s="4"/>
      <c r="C1264" s="13"/>
      <c r="D1264" s="1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>
      <c r="A1265" s="12"/>
      <c r="B1265" s="4"/>
      <c r="C1265" s="13"/>
      <c r="D1265" s="1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>
      <c r="A1266" s="12"/>
      <c r="B1266" s="4"/>
      <c r="C1266" s="13"/>
      <c r="D1266" s="1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>
      <c r="A1267" s="12"/>
      <c r="B1267" s="4"/>
      <c r="C1267" s="13"/>
      <c r="D1267" s="1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>
      <c r="A1268" s="12"/>
      <c r="B1268" s="4"/>
      <c r="C1268" s="13"/>
      <c r="D1268" s="1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>
      <c r="A1269" s="12"/>
      <c r="B1269" s="4"/>
      <c r="C1269" s="13"/>
      <c r="D1269" s="1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>
      <c r="A1270" s="12"/>
      <c r="B1270" s="4"/>
      <c r="C1270" s="13"/>
      <c r="D1270" s="1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>
      <c r="A1271" s="12"/>
      <c r="B1271" s="4"/>
      <c r="C1271" s="13"/>
      <c r="D1271" s="1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>
      <c r="A1272" s="12"/>
      <c r="B1272" s="4"/>
      <c r="C1272" s="13"/>
      <c r="D1272" s="1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>
      <c r="A1273" s="12"/>
      <c r="B1273" s="4"/>
      <c r="C1273" s="13"/>
      <c r="D1273" s="1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>
      <c r="A1274" s="12"/>
      <c r="B1274" s="4"/>
      <c r="C1274" s="13"/>
      <c r="D1274" s="1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>
      <c r="A1275" s="12"/>
      <c r="B1275" s="4"/>
      <c r="C1275" s="13"/>
      <c r="D1275" s="1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>
      <c r="A1276" s="12"/>
      <c r="B1276" s="4"/>
      <c r="C1276" s="13"/>
      <c r="D1276" s="1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>
      <c r="A1277" s="12"/>
      <c r="B1277" s="4"/>
      <c r="C1277" s="13"/>
      <c r="D1277" s="1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>
      <c r="A1278" s="12"/>
      <c r="B1278" s="4"/>
      <c r="C1278" s="13"/>
      <c r="D1278" s="1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>
      <c r="A1279" s="12"/>
      <c r="B1279" s="4"/>
      <c r="C1279" s="13"/>
      <c r="D1279" s="1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>
      <c r="A1280" s="12"/>
      <c r="B1280" s="4"/>
      <c r="C1280" s="13"/>
      <c r="D1280" s="1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>
      <c r="A1281" s="12"/>
      <c r="B1281" s="4"/>
      <c r="C1281" s="13"/>
      <c r="D1281" s="1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>
      <c r="A1282" s="12"/>
      <c r="B1282" s="4"/>
      <c r="C1282" s="13"/>
      <c r="D1282" s="1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>
      <c r="A1283" s="12"/>
      <c r="B1283" s="4"/>
      <c r="C1283" s="13"/>
      <c r="D1283" s="1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>
      <c r="A1284" s="12"/>
      <c r="B1284" s="4"/>
      <c r="C1284" s="13"/>
      <c r="D1284" s="1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>
      <c r="A1285" s="12"/>
      <c r="B1285" s="4"/>
      <c r="C1285" s="13"/>
      <c r="D1285" s="1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>
      <c r="A1286" s="12"/>
      <c r="B1286" s="4"/>
      <c r="C1286" s="13"/>
      <c r="D1286" s="1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>
      <c r="A1287" s="12"/>
      <c r="B1287" s="4"/>
      <c r="C1287" s="13"/>
      <c r="D1287" s="1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>
      <c r="A1288" s="12"/>
      <c r="B1288" s="4"/>
      <c r="C1288" s="13"/>
      <c r="D1288" s="1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>
      <c r="A1289" s="12"/>
      <c r="B1289" s="4"/>
      <c r="C1289" s="13"/>
      <c r="D1289" s="1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>
      <c r="A1290" s="12"/>
      <c r="B1290" s="4"/>
      <c r="C1290" s="13"/>
      <c r="D1290" s="1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>
      <c r="A1291" s="12"/>
      <c r="B1291" s="4"/>
      <c r="C1291" s="13"/>
      <c r="D1291" s="1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>
      <c r="A1292" s="12"/>
      <c r="B1292" s="4"/>
      <c r="C1292" s="13"/>
      <c r="D1292" s="1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>
      <c r="A1293" s="12"/>
      <c r="B1293" s="4"/>
      <c r="C1293" s="13"/>
      <c r="D1293" s="1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>
      <c r="A1294" s="12"/>
      <c r="B1294" s="4"/>
      <c r="C1294" s="13"/>
      <c r="D1294" s="1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>
      <c r="A1295" s="12"/>
      <c r="B1295" s="4"/>
      <c r="C1295" s="13"/>
      <c r="D1295" s="1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>
      <c r="A1296" s="12"/>
      <c r="B1296" s="4"/>
      <c r="C1296" s="13"/>
      <c r="D1296" s="1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>
      <c r="A1297" s="12"/>
      <c r="B1297" s="4"/>
      <c r="C1297" s="13"/>
      <c r="D1297" s="1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>
      <c r="A1298" s="12"/>
      <c r="B1298" s="4"/>
      <c r="C1298" s="13"/>
      <c r="D1298" s="1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>
      <c r="A1299" s="12"/>
      <c r="B1299" s="4"/>
      <c r="C1299" s="13"/>
      <c r="D1299" s="1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>
      <c r="A1300" s="12"/>
      <c r="B1300" s="4"/>
      <c r="C1300" s="13"/>
      <c r="D1300" s="1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>
      <c r="A1301" s="12"/>
      <c r="B1301" s="4"/>
      <c r="C1301" s="13"/>
      <c r="D1301" s="1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>
      <c r="A1302" s="12"/>
      <c r="B1302" s="4"/>
      <c r="C1302" s="13"/>
      <c r="D1302" s="1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>
      <c r="A1303" s="12"/>
      <c r="B1303" s="4"/>
      <c r="C1303" s="13"/>
      <c r="D1303" s="1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>
      <c r="A1304" s="12"/>
      <c r="B1304" s="4"/>
      <c r="C1304" s="13"/>
      <c r="D1304" s="1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>
      <c r="A1305" s="12"/>
      <c r="B1305" s="4"/>
      <c r="C1305" s="13"/>
      <c r="D1305" s="1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>
      <c r="A1306" s="12"/>
      <c r="B1306" s="4"/>
      <c r="C1306" s="13"/>
      <c r="D1306" s="1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>
      <c r="A1307" s="12"/>
      <c r="B1307" s="4"/>
      <c r="C1307" s="13"/>
      <c r="D1307" s="1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>
      <c r="A1308" s="12"/>
      <c r="B1308" s="4"/>
      <c r="C1308" s="13"/>
      <c r="D1308" s="1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>
      <c r="A1309" s="12"/>
      <c r="B1309" s="4"/>
      <c r="C1309" s="13"/>
      <c r="D1309" s="1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>
      <c r="A1310" s="12"/>
      <c r="B1310" s="4"/>
      <c r="C1310" s="13"/>
      <c r="D1310" s="1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>
      <c r="A1311" s="12"/>
      <c r="B1311" s="4"/>
      <c r="C1311" s="13"/>
      <c r="D1311" s="1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>
      <c r="A1312" s="12"/>
      <c r="B1312" s="4"/>
      <c r="C1312" s="13"/>
      <c r="D1312" s="1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>
      <c r="A1313" s="12"/>
      <c r="B1313" s="4"/>
      <c r="C1313" s="13"/>
      <c r="D1313" s="1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>
      <c r="A1314" s="12"/>
      <c r="B1314" s="4"/>
      <c r="C1314" s="13"/>
      <c r="D1314" s="1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>
      <c r="A1315" s="12"/>
      <c r="B1315" s="4"/>
      <c r="C1315" s="13"/>
      <c r="D1315" s="1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>
      <c r="A1316" s="12"/>
      <c r="B1316" s="4"/>
      <c r="C1316" s="13"/>
      <c r="D1316" s="1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>
      <c r="A1317" s="12"/>
      <c r="B1317" s="4"/>
      <c r="C1317" s="13"/>
      <c r="D1317" s="1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>
      <c r="A1318" s="12"/>
      <c r="B1318" s="4"/>
      <c r="C1318" s="13"/>
      <c r="D1318" s="1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>
      <c r="A1319" s="12"/>
      <c r="B1319" s="4"/>
      <c r="C1319" s="13"/>
      <c r="D1319" s="1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>
      <c r="A1320" s="12"/>
      <c r="B1320" s="4"/>
      <c r="C1320" s="13"/>
      <c r="D1320" s="1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>
      <c r="A1321" s="12"/>
      <c r="B1321" s="4"/>
      <c r="C1321" s="13"/>
      <c r="D1321" s="1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>
      <c r="A1322" s="12"/>
      <c r="B1322" s="4"/>
      <c r="C1322" s="13"/>
      <c r="D1322" s="1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>
      <c r="A1323" s="12"/>
      <c r="B1323" s="4"/>
      <c r="C1323" s="13"/>
      <c r="D1323" s="1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>
      <c r="A1324" s="12"/>
      <c r="B1324" s="4"/>
      <c r="C1324" s="13"/>
      <c r="D1324" s="1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>
      <c r="A1325" s="12"/>
      <c r="B1325" s="4"/>
      <c r="C1325" s="13"/>
      <c r="D1325" s="1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>
      <c r="A1326" s="12"/>
      <c r="B1326" s="4"/>
      <c r="C1326" s="13"/>
      <c r="D1326" s="1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>
      <c r="A1327" s="12"/>
      <c r="B1327" s="4"/>
      <c r="C1327" s="13"/>
      <c r="D1327" s="1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>
      <c r="A1328" s="12"/>
      <c r="B1328" s="4"/>
      <c r="C1328" s="13"/>
      <c r="D1328" s="1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>
      <c r="A1329" s="12"/>
      <c r="B1329" s="4"/>
      <c r="C1329" s="13"/>
      <c r="D1329" s="1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>
      <c r="A1330" s="12"/>
      <c r="B1330" s="4"/>
      <c r="C1330" s="13"/>
      <c r="D1330" s="1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>
      <c r="A1331" s="12"/>
      <c r="B1331" s="4"/>
      <c r="C1331" s="13"/>
      <c r="D1331" s="1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>
      <c r="A1332" s="12"/>
      <c r="B1332" s="4"/>
      <c r="C1332" s="13"/>
      <c r="D1332" s="1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>
      <c r="A1333" s="12"/>
      <c r="B1333" s="4"/>
      <c r="C1333" s="13"/>
      <c r="D1333" s="1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>
      <c r="A1334" s="12"/>
      <c r="B1334" s="4"/>
      <c r="C1334" s="13"/>
      <c r="D1334" s="1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>
      <c r="A1335" s="12"/>
      <c r="B1335" s="4"/>
      <c r="C1335" s="13"/>
      <c r="D1335" s="1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>
      <c r="A1336" s="12"/>
      <c r="B1336" s="4"/>
      <c r="C1336" s="13"/>
      <c r="D1336" s="1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>
      <c r="A1337" s="12"/>
      <c r="B1337" s="4"/>
      <c r="C1337" s="13"/>
      <c r="D1337" s="1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>
      <c r="A1338" s="12"/>
      <c r="B1338" s="4"/>
      <c r="C1338" s="13"/>
      <c r="D1338" s="1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>
      <c r="A1339" s="12"/>
      <c r="B1339" s="4"/>
      <c r="C1339" s="13"/>
      <c r="D1339" s="1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>
      <c r="A1340" s="12"/>
      <c r="B1340" s="4"/>
      <c r="C1340" s="13"/>
      <c r="D1340" s="1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>
      <c r="A1341" s="12"/>
      <c r="B1341" s="4"/>
      <c r="C1341" s="13"/>
      <c r="D1341" s="1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>
      <c r="A1342" s="12"/>
      <c r="B1342" s="4"/>
      <c r="C1342" s="13"/>
      <c r="D1342" s="1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>
      <c r="A1343" s="12"/>
      <c r="B1343" s="4"/>
      <c r="C1343" s="13"/>
      <c r="D1343" s="1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>
      <c r="A1344" s="12"/>
      <c r="B1344" s="4"/>
      <c r="C1344" s="13"/>
      <c r="D1344" s="1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>
      <c r="A1345" s="12"/>
      <c r="B1345" s="4"/>
      <c r="C1345" s="13"/>
      <c r="D1345" s="1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>
      <c r="A1346" s="12"/>
      <c r="B1346" s="4"/>
      <c r="C1346" s="13"/>
      <c r="D1346" s="1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>
      <c r="A1347" s="12"/>
      <c r="B1347" s="4"/>
      <c r="C1347" s="13"/>
      <c r="D1347" s="1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>
      <c r="A1348" s="12"/>
      <c r="B1348" s="4"/>
      <c r="C1348" s="13"/>
      <c r="D1348" s="1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>
      <c r="A1349" s="12"/>
      <c r="B1349" s="4"/>
      <c r="C1349" s="13"/>
      <c r="D1349" s="1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>
      <c r="A1350" s="12"/>
      <c r="B1350" s="4"/>
      <c r="C1350" s="13"/>
      <c r="D1350" s="1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>
      <c r="A1351" s="12"/>
      <c r="B1351" s="4"/>
      <c r="C1351" s="13"/>
      <c r="D1351" s="1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>
      <c r="A1352" s="12"/>
      <c r="B1352" s="4"/>
      <c r="C1352" s="13"/>
      <c r="D1352" s="1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>
      <c r="A1353" s="12"/>
      <c r="B1353" s="4"/>
      <c r="C1353" s="13"/>
      <c r="D1353" s="1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>
      <c r="A1354" s="12"/>
      <c r="B1354" s="4"/>
      <c r="C1354" s="13"/>
      <c r="D1354" s="1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>
      <c r="A1355" s="12"/>
      <c r="B1355" s="4"/>
      <c r="C1355" s="13"/>
      <c r="D1355" s="1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>
      <c r="A1356" s="12"/>
      <c r="B1356" s="4"/>
      <c r="C1356" s="13"/>
      <c r="D1356" s="1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>
      <c r="A1357" s="12"/>
      <c r="B1357" s="4"/>
      <c r="C1357" s="13"/>
      <c r="D1357" s="1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>
      <c r="A1358" s="12"/>
      <c r="B1358" s="4"/>
      <c r="C1358" s="13"/>
      <c r="D1358" s="1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>
      <c r="A1359" s="12"/>
      <c r="B1359" s="4"/>
      <c r="C1359" s="13"/>
      <c r="D1359" s="1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>
      <c r="A1360" s="12"/>
      <c r="B1360" s="4"/>
      <c r="C1360" s="13"/>
      <c r="D1360" s="1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>
      <c r="A1361" s="12"/>
      <c r="B1361" s="4"/>
      <c r="C1361" s="13"/>
      <c r="D1361" s="1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>
      <c r="A1362" s="12"/>
      <c r="B1362" s="4"/>
      <c r="C1362" s="13"/>
      <c r="D1362" s="1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>
      <c r="A1363" s="12"/>
      <c r="B1363" s="4"/>
      <c r="C1363" s="13"/>
      <c r="D1363" s="1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>
      <c r="A1364" s="12"/>
      <c r="B1364" s="4"/>
      <c r="C1364" s="13"/>
      <c r="D1364" s="1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>
      <c r="A1365" s="12"/>
      <c r="B1365" s="4"/>
      <c r="C1365" s="13"/>
      <c r="D1365" s="1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>
      <c r="A1366" s="12"/>
      <c r="B1366" s="4"/>
      <c r="C1366" s="13"/>
      <c r="D1366" s="1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>
      <c r="A1367" s="12"/>
      <c r="B1367" s="4"/>
      <c r="C1367" s="13"/>
      <c r="D1367" s="1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>
      <c r="A1368" s="12"/>
      <c r="B1368" s="4"/>
      <c r="C1368" s="13"/>
      <c r="D1368" s="1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>
      <c r="A1369" s="12"/>
      <c r="B1369" s="4"/>
      <c r="C1369" s="13"/>
      <c r="D1369" s="1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>
      <c r="A1370" s="12"/>
      <c r="B1370" s="4"/>
      <c r="C1370" s="13"/>
      <c r="D1370" s="1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>
      <c r="A1371" s="12"/>
      <c r="B1371" s="4"/>
      <c r="C1371" s="13"/>
      <c r="D1371" s="1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>
      <c r="A1372" s="12"/>
      <c r="B1372" s="4"/>
      <c r="C1372" s="13"/>
      <c r="D1372" s="1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>
      <c r="A1373" s="12"/>
      <c r="B1373" s="4"/>
      <c r="C1373" s="13"/>
      <c r="D1373" s="1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>
      <c r="A1374" s="12"/>
      <c r="B1374" s="4"/>
      <c r="C1374" s="13"/>
      <c r="D1374" s="1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>
      <c r="A1375" s="12"/>
      <c r="B1375" s="4"/>
      <c r="C1375" s="13"/>
      <c r="D1375" s="1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>
      <c r="A1376" s="12"/>
      <c r="B1376" s="4"/>
      <c r="C1376" s="13"/>
      <c r="D1376" s="1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>
      <c r="A1377" s="12"/>
      <c r="B1377" s="4"/>
      <c r="C1377" s="13"/>
      <c r="D1377" s="1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>
      <c r="A1378" s="12"/>
      <c r="B1378" s="4"/>
      <c r="C1378" s="13"/>
      <c r="D1378" s="1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>
      <c r="A1379" s="12"/>
      <c r="B1379" s="4"/>
      <c r="C1379" s="13"/>
      <c r="D1379" s="1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>
      <c r="A1380" s="12"/>
      <c r="B1380" s="4"/>
      <c r="C1380" s="13"/>
      <c r="D1380" s="1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>
      <c r="A1381" s="12"/>
      <c r="B1381" s="4"/>
      <c r="C1381" s="13"/>
      <c r="D1381" s="1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>
      <c r="A1382" s="12"/>
      <c r="B1382" s="4"/>
      <c r="C1382" s="13"/>
      <c r="D1382" s="1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>
      <c r="A1383" s="12"/>
      <c r="B1383" s="4"/>
      <c r="C1383" s="13"/>
      <c r="D1383" s="1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>
      <c r="A1384" s="12"/>
      <c r="B1384" s="4"/>
      <c r="C1384" s="13"/>
      <c r="D1384" s="1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>
      <c r="A1385" s="12"/>
      <c r="B1385" s="4"/>
      <c r="C1385" s="13"/>
      <c r="D1385" s="1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>
      <c r="A1386" s="12"/>
      <c r="B1386" s="4"/>
      <c r="C1386" s="13"/>
      <c r="D1386" s="1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>
      <c r="A1387" s="12"/>
      <c r="B1387" s="4"/>
      <c r="C1387" s="13"/>
      <c r="D1387" s="1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>
      <c r="A1388" s="12"/>
      <c r="B1388" s="4"/>
      <c r="C1388" s="13"/>
      <c r="D1388" s="1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>
      <c r="A1389" s="12"/>
      <c r="B1389" s="4"/>
      <c r="C1389" s="13"/>
      <c r="D1389" s="1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>
      <c r="A1390" s="12"/>
      <c r="B1390" s="4"/>
      <c r="C1390" s="13"/>
      <c r="D1390" s="1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>
      <c r="A1391" s="12"/>
      <c r="B1391" s="4"/>
      <c r="C1391" s="13"/>
      <c r="D1391" s="1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>
      <c r="A1392" s="12"/>
      <c r="B1392" s="4"/>
      <c r="C1392" s="13"/>
      <c r="D1392" s="1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>
      <c r="A1393" s="12"/>
      <c r="B1393" s="4"/>
      <c r="C1393" s="13"/>
      <c r="D1393" s="1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>
      <c r="A1394" s="12"/>
      <c r="B1394" s="4"/>
      <c r="C1394" s="13"/>
      <c r="D1394" s="1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>
      <c r="A1395" s="12"/>
      <c r="B1395" s="4"/>
      <c r="C1395" s="13"/>
      <c r="D1395" s="1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>
      <c r="A1396" s="12"/>
      <c r="B1396" s="4"/>
      <c r="C1396" s="13"/>
      <c r="D1396" s="1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>
      <c r="A1397" s="12"/>
      <c r="B1397" s="4"/>
      <c r="C1397" s="13"/>
      <c r="D1397" s="1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>
      <c r="A1398" s="12"/>
      <c r="B1398" s="4"/>
      <c r="C1398" s="13"/>
      <c r="D1398" s="1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>
      <c r="A1399" s="12"/>
      <c r="B1399" s="4"/>
      <c r="C1399" s="13"/>
      <c r="D1399" s="1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>
      <c r="A1400" s="12"/>
      <c r="B1400" s="4"/>
      <c r="C1400" s="13"/>
      <c r="D1400" s="1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>
      <c r="A1401" s="12"/>
      <c r="B1401" s="4"/>
      <c r="C1401" s="13"/>
      <c r="D1401" s="1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>
      <c r="A1402" s="12"/>
      <c r="B1402" s="4"/>
      <c r="C1402" s="13"/>
      <c r="D1402" s="1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>
      <c r="A1403" s="12"/>
      <c r="B1403" s="4"/>
      <c r="C1403" s="13"/>
      <c r="D1403" s="1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>
      <c r="A1404" s="12"/>
      <c r="B1404" s="4"/>
      <c r="C1404" s="13"/>
      <c r="D1404" s="1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>
      <c r="A1405" s="12"/>
      <c r="B1405" s="4"/>
      <c r="C1405" s="13"/>
      <c r="D1405" s="1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>
      <c r="A1406" s="12"/>
      <c r="B1406" s="4"/>
      <c r="C1406" s="13"/>
      <c r="D1406" s="1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>
      <c r="A1407" s="12"/>
      <c r="B1407" s="4"/>
      <c r="C1407" s="13"/>
      <c r="D1407" s="1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>
      <c r="A1408" s="12"/>
      <c r="B1408" s="4"/>
      <c r="C1408" s="13"/>
      <c r="D1408" s="1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>
      <c r="A1409" s="12"/>
      <c r="B1409" s="4"/>
      <c r="C1409" s="13"/>
      <c r="D1409" s="1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>
      <c r="A1410" s="12"/>
      <c r="B1410" s="4"/>
      <c r="C1410" s="13"/>
      <c r="D1410" s="1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>
      <c r="A1411" s="12"/>
      <c r="B1411" s="4"/>
      <c r="C1411" s="13"/>
      <c r="D1411" s="1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>
      <c r="A1412" s="12"/>
      <c r="B1412" s="4"/>
      <c r="C1412" s="13"/>
      <c r="D1412" s="1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>
      <c r="A1413" s="12"/>
      <c r="B1413" s="4"/>
      <c r="C1413" s="13"/>
      <c r="D1413" s="1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>
      <c r="A1414" s="12"/>
      <c r="B1414" s="4"/>
      <c r="C1414" s="13"/>
      <c r="D1414" s="1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>
      <c r="A1415" s="12"/>
      <c r="B1415" s="4"/>
      <c r="C1415" s="13"/>
      <c r="D1415" s="1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>
      <c r="A1416" s="12"/>
      <c r="B1416" s="4"/>
      <c r="C1416" s="13"/>
      <c r="D1416" s="1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>
      <c r="A1417" s="12"/>
      <c r="B1417" s="4"/>
      <c r="C1417" s="13"/>
      <c r="D1417" s="1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>
      <c r="A1418" s="12"/>
      <c r="B1418" s="4"/>
      <c r="C1418" s="13"/>
      <c r="D1418" s="1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>
      <c r="A1419" s="12"/>
      <c r="B1419" s="4"/>
      <c r="C1419" s="13"/>
      <c r="D1419" s="1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>
      <c r="A1420" s="12"/>
      <c r="B1420" s="4"/>
      <c r="C1420" s="13"/>
      <c r="D1420" s="1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>
      <c r="A1421" s="12"/>
      <c r="B1421" s="4"/>
      <c r="C1421" s="13"/>
      <c r="D1421" s="1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>
      <c r="A1422" s="12"/>
      <c r="B1422" s="4"/>
      <c r="C1422" s="13"/>
      <c r="D1422" s="1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>
      <c r="A1423" s="12"/>
      <c r="B1423" s="4"/>
      <c r="C1423" s="13"/>
      <c r="D1423" s="1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>
      <c r="A1424" s="12"/>
      <c r="B1424" s="4"/>
      <c r="C1424" s="13"/>
      <c r="D1424" s="1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>
      <c r="A1425" s="12"/>
      <c r="B1425" s="4"/>
      <c r="C1425" s="13"/>
      <c r="D1425" s="1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>
      <c r="A1426" s="12"/>
      <c r="B1426" s="4"/>
      <c r="C1426" s="13"/>
      <c r="D1426" s="1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>
      <c r="A1427" s="12"/>
      <c r="B1427" s="4"/>
      <c r="C1427" s="13"/>
      <c r="D1427" s="1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>
      <c r="A1428" s="12"/>
      <c r="B1428" s="4"/>
      <c r="C1428" s="13"/>
      <c r="D1428" s="1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>
      <c r="A1429" s="12"/>
      <c r="B1429" s="4"/>
      <c r="C1429" s="13"/>
      <c r="D1429" s="1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>
      <c r="A1430" s="12"/>
      <c r="B1430" s="4"/>
      <c r="C1430" s="13"/>
      <c r="D1430" s="1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>
      <c r="A1431" s="12"/>
      <c r="B1431" s="4"/>
      <c r="C1431" s="13"/>
      <c r="D1431" s="1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>
      <c r="A1432" s="12"/>
      <c r="B1432" s="4"/>
      <c r="C1432" s="13"/>
      <c r="D1432" s="1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>
      <c r="A1433" s="12"/>
      <c r="B1433" s="4"/>
      <c r="C1433" s="13"/>
      <c r="D1433" s="1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>
      <c r="A1434" s="12"/>
      <c r="B1434" s="4"/>
      <c r="C1434" s="13"/>
      <c r="D1434" s="1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>
      <c r="A1435" s="12"/>
      <c r="B1435" s="4"/>
      <c r="C1435" s="13"/>
      <c r="D1435" s="1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>
      <c r="A1436" s="12"/>
      <c r="B1436" s="4"/>
      <c r="C1436" s="13"/>
      <c r="D1436" s="1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>
      <c r="A1437" s="12"/>
      <c r="B1437" s="4"/>
      <c r="C1437" s="13"/>
      <c r="D1437" s="1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>
      <c r="A1438" s="12"/>
      <c r="B1438" s="4"/>
      <c r="C1438" s="13"/>
      <c r="D1438" s="1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>
      <c r="A1439" s="12"/>
      <c r="B1439" s="4"/>
      <c r="C1439" s="13"/>
      <c r="D1439" s="1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>
      <c r="A1440" s="12"/>
      <c r="B1440" s="4"/>
      <c r="C1440" s="13"/>
      <c r="D1440" s="1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>
      <c r="A1441" s="12"/>
      <c r="B1441" s="4"/>
      <c r="C1441" s="13"/>
      <c r="D1441" s="1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>
      <c r="A1442" s="12"/>
      <c r="B1442" s="4"/>
      <c r="C1442" s="13"/>
      <c r="D1442" s="1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>
      <c r="A1443" s="12"/>
      <c r="B1443" s="4"/>
      <c r="C1443" s="13"/>
      <c r="D1443" s="1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>
      <c r="A1444" s="12"/>
      <c r="B1444" s="4"/>
      <c r="C1444" s="13"/>
      <c r="D1444" s="1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>
      <c r="A1445" s="12"/>
      <c r="B1445" s="4"/>
      <c r="C1445" s="13"/>
      <c r="D1445" s="1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>
      <c r="A1446" s="12"/>
      <c r="B1446" s="4"/>
      <c r="C1446" s="13"/>
      <c r="D1446" s="1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>
      <c r="A1447" s="12"/>
      <c r="B1447" s="4"/>
      <c r="C1447" s="13"/>
      <c r="D1447" s="1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>
      <c r="A1448" s="12"/>
      <c r="B1448" s="4"/>
      <c r="C1448" s="13"/>
      <c r="D1448" s="1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>
      <c r="A1449" s="12"/>
      <c r="B1449" s="4"/>
      <c r="C1449" s="13"/>
      <c r="D1449" s="1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>
      <c r="A1450" s="12"/>
      <c r="B1450" s="4"/>
      <c r="C1450" s="13"/>
      <c r="D1450" s="1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>
      <c r="A1451" s="12"/>
      <c r="B1451" s="4"/>
      <c r="C1451" s="13"/>
      <c r="D1451" s="1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>
      <c r="A1452" s="12"/>
      <c r="B1452" s="4"/>
      <c r="C1452" s="13"/>
      <c r="D1452" s="1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>
      <c r="A1453" s="12"/>
      <c r="B1453" s="4"/>
      <c r="C1453" s="13"/>
      <c r="D1453" s="1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>
      <c r="A1454" s="12"/>
      <c r="B1454" s="4"/>
      <c r="C1454" s="13"/>
      <c r="D1454" s="1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>
      <c r="A1455" s="12"/>
      <c r="B1455" s="4"/>
      <c r="C1455" s="13"/>
      <c r="D1455" s="1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>
      <c r="A1456" s="12"/>
      <c r="B1456" s="4"/>
      <c r="C1456" s="13"/>
      <c r="D1456" s="1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>
      <c r="A1457" s="12"/>
      <c r="B1457" s="4"/>
      <c r="C1457" s="13"/>
      <c r="D1457" s="1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>
      <c r="A1458" s="12"/>
      <c r="B1458" s="4"/>
      <c r="C1458" s="13"/>
      <c r="D1458" s="1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>
      <c r="A1459" s="12"/>
      <c r="B1459" s="4"/>
      <c r="C1459" s="13"/>
      <c r="D1459" s="1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>
      <c r="A1460" s="12"/>
      <c r="B1460" s="4"/>
      <c r="C1460" s="13"/>
      <c r="D1460" s="1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>
      <c r="A1461" s="12"/>
      <c r="B1461" s="4"/>
      <c r="C1461" s="13"/>
      <c r="D1461" s="1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>
      <c r="A1462" s="12"/>
      <c r="B1462" s="4"/>
      <c r="C1462" s="13"/>
      <c r="D1462" s="1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>
      <c r="A1463" s="12"/>
      <c r="B1463" s="4"/>
      <c r="C1463" s="13"/>
      <c r="D1463" s="1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>
      <c r="A1464" s="12"/>
      <c r="B1464" s="4"/>
      <c r="C1464" s="13"/>
      <c r="D1464" s="1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>
      <c r="A1465" s="12"/>
      <c r="B1465" s="4"/>
      <c r="C1465" s="13"/>
      <c r="D1465" s="1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>
      <c r="A1466" s="12"/>
      <c r="B1466" s="4"/>
      <c r="C1466" s="13"/>
      <c r="D1466" s="1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>
      <c r="A1467" s="12"/>
      <c r="B1467" s="4"/>
      <c r="C1467" s="13"/>
      <c r="D1467" s="1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>
      <c r="A1468" s="12"/>
      <c r="B1468" s="4"/>
      <c r="C1468" s="13"/>
      <c r="D1468" s="1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>
      <c r="A1469" s="12"/>
      <c r="B1469" s="4"/>
      <c r="C1469" s="13"/>
      <c r="D1469" s="1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>
      <c r="A1470" s="12"/>
      <c r="B1470" s="4"/>
      <c r="C1470" s="13"/>
      <c r="D1470" s="1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>
      <c r="A1471" s="12"/>
      <c r="B1471" s="4"/>
      <c r="C1471" s="13"/>
      <c r="D1471" s="1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>
      <c r="A1472" s="12"/>
      <c r="B1472" s="4"/>
      <c r="C1472" s="13"/>
      <c r="D1472" s="1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>
      <c r="A1473" s="12"/>
      <c r="B1473" s="4"/>
      <c r="C1473" s="13"/>
      <c r="D1473" s="1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>
      <c r="A1474" s="12"/>
      <c r="B1474" s="4"/>
      <c r="C1474" s="13"/>
      <c r="D1474" s="1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>
      <c r="A1475" s="12"/>
      <c r="B1475" s="4"/>
      <c r="C1475" s="13"/>
      <c r="D1475" s="1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>
      <c r="A1476" s="12"/>
      <c r="B1476" s="4"/>
      <c r="C1476" s="13"/>
      <c r="D1476" s="1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>
      <c r="A1477" s="12"/>
      <c r="B1477" s="4"/>
      <c r="C1477" s="13"/>
      <c r="D1477" s="1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>
      <c r="A1478" s="12"/>
      <c r="B1478" s="4"/>
      <c r="C1478" s="13"/>
      <c r="D1478" s="1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>
      <c r="A1479" s="12"/>
      <c r="B1479" s="4"/>
      <c r="C1479" s="13"/>
      <c r="D1479" s="1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>
      <c r="A1480" s="12"/>
      <c r="B1480" s="4"/>
      <c r="C1480" s="13"/>
      <c r="D1480" s="1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>
      <c r="A1481" s="12"/>
      <c r="B1481" s="4"/>
      <c r="C1481" s="13"/>
      <c r="D1481" s="1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>
      <c r="A1482" s="12"/>
      <c r="B1482" s="4"/>
      <c r="C1482" s="13"/>
      <c r="D1482" s="1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>
      <c r="A1483" s="12"/>
      <c r="B1483" s="4"/>
      <c r="C1483" s="13"/>
      <c r="D1483" s="1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>
      <c r="A1484" s="12"/>
      <c r="B1484" s="4"/>
      <c r="C1484" s="13"/>
      <c r="D1484" s="1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>
      <c r="A1485" s="12"/>
      <c r="B1485" s="4"/>
      <c r="C1485" s="13"/>
      <c r="D1485" s="1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>
      <c r="A1486" s="12"/>
      <c r="B1486" s="4"/>
      <c r="C1486" s="13"/>
      <c r="D1486" s="1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>
      <c r="A1487" s="12"/>
      <c r="B1487" s="4"/>
      <c r="C1487" s="13"/>
      <c r="D1487" s="1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>
      <c r="A1488" s="12"/>
      <c r="B1488" s="4"/>
      <c r="C1488" s="13"/>
      <c r="D1488" s="1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>
      <c r="A1489" s="12"/>
      <c r="B1489" s="4"/>
      <c r="C1489" s="13"/>
      <c r="D1489" s="1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>
      <c r="A1490" s="12"/>
      <c r="B1490" s="4"/>
      <c r="C1490" s="13"/>
      <c r="D1490" s="1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>
      <c r="A1491" s="12"/>
      <c r="B1491" s="4"/>
      <c r="C1491" s="13"/>
      <c r="D1491" s="1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>
      <c r="A1492" s="12"/>
      <c r="B1492" s="4"/>
      <c r="C1492" s="13"/>
      <c r="D1492" s="1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>
      <c r="A1493" s="12"/>
      <c r="B1493" s="4"/>
      <c r="C1493" s="13"/>
      <c r="D1493" s="1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>
      <c r="A1494" s="12"/>
      <c r="B1494" s="4"/>
      <c r="C1494" s="13"/>
      <c r="D1494" s="1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>
      <c r="A1495" s="12"/>
      <c r="B1495" s="4"/>
      <c r="C1495" s="13"/>
      <c r="D1495" s="1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>
      <c r="A1496" s="12"/>
      <c r="B1496" s="4"/>
      <c r="C1496" s="13"/>
      <c r="D1496" s="1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>
      <c r="A1497" s="12"/>
      <c r="B1497" s="4"/>
      <c r="C1497" s="13"/>
      <c r="D1497" s="1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>
      <c r="A1498" s="12"/>
      <c r="B1498" s="4"/>
      <c r="C1498" s="13"/>
      <c r="D1498" s="1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>
      <c r="A1499" s="12"/>
      <c r="B1499" s="4"/>
      <c r="C1499" s="13"/>
      <c r="D1499" s="1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>
      <c r="A1500" s="12"/>
      <c r="B1500" s="4"/>
      <c r="C1500" s="13"/>
      <c r="D1500" s="1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>
      <c r="A1501" s="12"/>
      <c r="B1501" s="4"/>
      <c r="C1501" s="13"/>
      <c r="D1501" s="1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>
      <c r="A1502" s="12"/>
      <c r="B1502" s="4"/>
      <c r="C1502" s="13"/>
      <c r="D1502" s="1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>
      <c r="A1503" s="12"/>
      <c r="B1503" s="4"/>
      <c r="C1503" s="13"/>
      <c r="D1503" s="1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>
      <c r="A1504" s="12"/>
      <c r="B1504" s="4"/>
      <c r="C1504" s="13"/>
      <c r="D1504" s="1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>
      <c r="A1505" s="12"/>
      <c r="B1505" s="4"/>
      <c r="C1505" s="13"/>
      <c r="D1505" s="1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>
      <c r="A1506" s="12"/>
      <c r="B1506" s="4"/>
      <c r="C1506" s="13"/>
      <c r="D1506" s="1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>
      <c r="A1507" s="12"/>
      <c r="B1507" s="4"/>
      <c r="C1507" s="13"/>
      <c r="D1507" s="1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>
      <c r="A1508" s="12"/>
      <c r="B1508" s="4"/>
      <c r="C1508" s="13"/>
      <c r="D1508" s="1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>
      <c r="A1509" s="12"/>
      <c r="B1509" s="4"/>
      <c r="C1509" s="13"/>
      <c r="D1509" s="1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>
      <c r="A1510" s="12"/>
      <c r="B1510" s="4"/>
      <c r="C1510" s="13"/>
      <c r="D1510" s="1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</sheetData>
  <autoFilter ref="$A$1:$H$1510">
    <sortState ref="A1:H1510">
      <sortCondition ref="A1:A1510"/>
      <sortCondition ref="B1:B1510"/>
      <sortCondition ref="F1:F1510"/>
      <sortCondition ref="C1:C1510"/>
    </sortState>
  </autoFilter>
  <conditionalFormatting sqref="F1:F1510">
    <cfRule type="containsText" dxfId="0" priority="1" operator="containsText" text="Bills">
      <formula>NOT(ISERROR(SEARCH(("Bills"),(F1))))</formula>
    </cfRule>
  </conditionalFormatting>
  <conditionalFormatting sqref="F1:F1510">
    <cfRule type="containsText" dxfId="1" priority="2" operator="containsText" text="Dining Out">
      <formula>NOT(ISERROR(SEARCH(("Dining Out"),(F1))))</formula>
    </cfRule>
  </conditionalFormatting>
  <conditionalFormatting sqref="F1:F1510">
    <cfRule type="containsText" dxfId="2" priority="3" operator="containsText" text="Groceries">
      <formula>NOT(ISERROR(SEARCH(("Groceries"),(F1))))</formula>
    </cfRule>
  </conditionalFormatting>
  <conditionalFormatting sqref="F1:F1510">
    <cfRule type="containsText" dxfId="3" priority="4" operator="containsText" text="Entertainment">
      <formula>NOT(ISERROR(SEARCH(("Entertainment"),(F1))))</formula>
    </cfRule>
  </conditionalFormatting>
  <conditionalFormatting sqref="F1:F1510">
    <cfRule type="containsText" dxfId="4" priority="5" operator="containsText" text="Other">
      <formula>NOT(ISERROR(SEARCH(("Other"),(F1))))</formula>
    </cfRule>
  </conditionalFormatting>
  <conditionalFormatting sqref="F1:F1510">
    <cfRule type="containsText" dxfId="5" priority="6" operator="containsText" text="Shopping">
      <formula>NOT(ISERROR(SEARCH(("Shopping"),(F1))))</formula>
    </cfRule>
  </conditionalFormatting>
  <conditionalFormatting sqref="F1:F1510">
    <cfRule type="containsText" dxfId="6" priority="7" operator="containsText" text="Transportation">
      <formula>NOT(ISERROR(SEARCH(("Transportation"),(F1))))</formula>
    </cfRule>
  </conditionalFormatting>
  <conditionalFormatting sqref="F1:F1510">
    <cfRule type="containsText" dxfId="7" priority="8" operator="containsText" text="Subscription">
      <formula>NOT(ISERROR(SEARCH(("Subscription"),(F1))))</formula>
    </cfRule>
  </conditionalFormatting>
  <conditionalFormatting sqref="F1:F1510">
    <cfRule type="containsText" dxfId="8" priority="9" operator="containsText" text="Travel">
      <formula>NOT(ISERROR(SEARCH(("Travel"),(F1))))</formula>
    </cfRule>
  </conditionalFormatting>
  <conditionalFormatting sqref="F1:F1510">
    <cfRule type="containsText" dxfId="9" priority="10" operator="containsText" text="Withdrawal">
      <formula>NOT(ISERROR(SEARCH(("Withdrawal"),(F1))))</formula>
    </cfRule>
  </conditionalFormatting>
  <hyperlinks>
    <hyperlink r:id="rId1" ref="C140"/>
    <hyperlink r:id="rId2" ref="C155"/>
    <hyperlink r:id="rId3" ref="C253"/>
    <hyperlink r:id="rId4" ref="C309"/>
    <hyperlink r:id="rId5" ref="C360"/>
    <hyperlink r:id="rId6" ref="C410"/>
    <hyperlink r:id="rId7" ref="C422"/>
    <hyperlink r:id="rId8" ref="C477"/>
    <hyperlink r:id="rId9" ref="C638"/>
    <hyperlink r:id="rId10" ref="C644"/>
    <hyperlink r:id="rId11" ref="C650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0" max="20" width="17.5"/>
    <col customWidth="1" min="22" max="22" width="26.75"/>
  </cols>
  <sheetData>
    <row r="1">
      <c r="V1" s="18" t="str">
        <f>IFERROR(__xludf.DUMMYFUNCTION("QUERY(raw_data!B:E, ""select C, sum(D) where C is not null group by C order by sum(D) desc limit 11 label C 'Merchant', sum(D) 'Total Spent'"")"),"Merchant")</f>
        <v>Merchant</v>
      </c>
      <c r="W1" s="19" t="str">
        <f>IFERROR(__xludf.DUMMYFUNCTION("""COMPUTED_VALUE"""),"Total Spent")</f>
        <v>Total Spent</v>
      </c>
    </row>
    <row r="2">
      <c r="V2" s="21" t="str">
        <f>IFERROR(__xludf.DUMMYFUNCTION("""COMPUTED_VALUE"""),"STEVE BROWN APARTMENTS")</f>
        <v>STEVE BROWN APARTMENTS</v>
      </c>
      <c r="W2" s="22">
        <f>IFERROR(__xludf.DUMMYFUNCTION("""COMPUTED_VALUE"""),5235.0)</f>
        <v>5235</v>
      </c>
    </row>
    <row r="3">
      <c r="V3" s="21" t="str">
        <f>IFERROR(__xludf.DUMMYFUNCTION("""COMPUTED_VALUE"""),"HUNTINGTON BANKS")</f>
        <v>HUNTINGTON BANKS</v>
      </c>
      <c r="W3" s="22">
        <f>IFERROR(__xludf.DUMMYFUNCTION("""COMPUTED_VALUE"""),4876.9000000000015)</f>
        <v>4876.9</v>
      </c>
    </row>
    <row r="4">
      <c r="V4" s="21" t="str">
        <f>IFERROR(__xludf.DUMMYFUNCTION("""COMPUTED_VALUE"""),"MADISON GAS &amp; ELECTRIC")</f>
        <v>MADISON GAS &amp; ELECTRIC</v>
      </c>
      <c r="W4" s="22">
        <f>IFERROR(__xludf.DUMMYFUNCTION("""COMPUTED_VALUE"""),1102.84)</f>
        <v>1102.84</v>
      </c>
    </row>
    <row r="5">
      <c r="V5" s="21" t="str">
        <f>IFERROR(__xludf.DUMMYFUNCTION("""COMPUTED_VALUE"""),"KWIK TRIP")</f>
        <v>KWIK TRIP</v>
      </c>
      <c r="W5" s="22">
        <f>IFERROR(__xludf.DUMMYFUNCTION("""COMPUTED_VALUE"""),999.4600000000003)</f>
        <v>999.46</v>
      </c>
    </row>
    <row r="6">
      <c r="V6" s="21" t="str">
        <f>IFERROR(__xludf.DUMMYFUNCTION("""COMPUTED_VALUE"""),"GRAHAMS AUTO &amp; TRUCK")</f>
        <v>GRAHAMS AUTO &amp; TRUCK</v>
      </c>
      <c r="W6" s="22">
        <f>IFERROR(__xludf.DUMMYFUNCTION("""COMPUTED_VALUE"""),825.15)</f>
        <v>825.15</v>
      </c>
    </row>
    <row r="7">
      <c r="V7" s="21" t="str">
        <f>IFERROR(__xludf.DUMMYFUNCTION("""COMPUTED_VALUE"""),"WOODMANS FOOD MARKET")</f>
        <v>WOODMANS FOOD MARKET</v>
      </c>
      <c r="W7" s="22">
        <f>IFERROR(__xludf.DUMMYFUNCTION("""COMPUTED_VALUE"""),773.5800000000002)</f>
        <v>773.58</v>
      </c>
    </row>
    <row r="8">
      <c r="V8" s="21" t="str">
        <f>IFERROR(__xludf.DUMMYFUNCTION("""COMPUTED_VALUE"""),"GAMERS LIBRARY")</f>
        <v>GAMERS LIBRARY</v>
      </c>
      <c r="W8" s="22">
        <f>IFERROR(__xludf.DUMMYFUNCTION("""COMPUTED_VALUE"""),663.1500000000001)</f>
        <v>663.15</v>
      </c>
    </row>
    <row r="9">
      <c r="V9" s="21" t="str">
        <f>IFERROR(__xludf.DUMMYFUNCTION("""COMPUTED_VALUE"""),"AMERICAN FUNDS")</f>
        <v>AMERICAN FUNDS</v>
      </c>
      <c r="W9" s="22">
        <f>IFERROR(__xludf.DUMMYFUNCTION("""COMPUTED_VALUE"""),600.0)</f>
        <v>600</v>
      </c>
    </row>
    <row r="10">
      <c r="V10" s="21" t="str">
        <f>IFERROR(__xludf.DUMMYFUNCTION("""COMPUTED_VALUE"""),"STATE FARM INSURANCE")</f>
        <v>STATE FARM INSURANCE</v>
      </c>
      <c r="W10" s="22">
        <f>IFERROR(__xludf.DUMMYFUNCTION("""COMPUTED_VALUE"""),487.78000000000003)</f>
        <v>487.78</v>
      </c>
    </row>
    <row r="11">
      <c r="V11" s="21" t="str">
        <f>IFERROR(__xludf.DUMMYFUNCTION("""COMPUTED_VALUE"""),"ALDI")</f>
        <v>ALDI</v>
      </c>
      <c r="W11" s="22">
        <f>IFERROR(__xludf.DUMMYFUNCTION("""COMPUTED_VALUE"""),479.89)</f>
        <v>479.89</v>
      </c>
    </row>
    <row r="12">
      <c r="V12" s="23" t="str">
        <f>IFERROR(__xludf.DUMMYFUNCTION("""COMPUTED_VALUE"""),"JIFFY LUBE")</f>
        <v>JIFFY LUBE</v>
      </c>
      <c r="W12" s="24">
        <f>IFERROR(__xludf.DUMMYFUNCTION("""COMPUTED_VALUE"""),469.19000000000005)</f>
        <v>469.19</v>
      </c>
    </row>
    <row r="13"/>
    <row r="14"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>
      <c r="B20" s="16"/>
      <c r="C20" s="16"/>
      <c r="D20" s="16"/>
      <c r="E20" s="16"/>
      <c r="F20" s="16"/>
      <c r="G20" s="25"/>
      <c r="H20" s="16"/>
      <c r="I20" s="16"/>
      <c r="J20" s="16"/>
      <c r="K20" s="16"/>
      <c r="L20" s="16"/>
      <c r="M20" s="16"/>
      <c r="N20" s="16"/>
      <c r="O20" s="16"/>
      <c r="P20" s="16"/>
    </row>
    <row r="21"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</row>
    <row r="96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</row>
    <row r="97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</row>
    <row r="98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</row>
    <row r="100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</row>
    <row r="102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</row>
    <row r="103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</row>
    <row r="104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</row>
    <row r="10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</row>
    <row r="106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</row>
    <row r="107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</row>
    <row r="108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</row>
    <row r="109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</row>
    <row r="110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</row>
    <row r="111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</row>
    <row r="112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</row>
    <row r="113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</row>
    <row r="114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</row>
    <row r="11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</row>
    <row r="116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</row>
    <row r="117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</row>
    <row r="118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</row>
    <row r="119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</row>
    <row r="120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</row>
    <row r="121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</row>
    <row r="122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</row>
    <row r="123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</row>
    <row r="124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</row>
    <row r="1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</row>
    <row r="126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</row>
    <row r="127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</row>
    <row r="128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</row>
    <row r="129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</row>
    <row r="130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</row>
    <row r="131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</row>
    <row r="132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</row>
    <row r="133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</row>
    <row r="134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</row>
    <row r="13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</row>
    <row r="136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</row>
    <row r="137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</row>
    <row r="138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</row>
    <row r="140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</row>
    <row r="141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</row>
    <row r="142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</row>
    <row r="143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</row>
    <row r="144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</row>
    <row r="14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</row>
    <row r="146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</row>
    <row r="147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</row>
    <row r="148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</row>
    <row r="149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</row>
    <row r="150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</row>
    <row r="151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</row>
    <row r="152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</row>
    <row r="153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</row>
    <row r="154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</row>
    <row r="15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</row>
    <row r="156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</row>
    <row r="157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</row>
    <row r="158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</row>
    <row r="159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</row>
    <row r="160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</row>
    <row r="161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</row>
    <row r="162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</row>
    <row r="163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</row>
    <row r="164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</row>
    <row r="16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</row>
    <row r="166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</row>
    <row r="167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</row>
    <row r="168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</row>
    <row r="169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</row>
    <row r="170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</row>
    <row r="171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</row>
    <row r="172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</row>
    <row r="173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</row>
    <row r="174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</row>
    <row r="17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</row>
    <row r="176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</row>
    <row r="177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</row>
    <row r="178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</row>
    <row r="179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</row>
    <row r="180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</row>
    <row r="181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</row>
    <row r="182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</row>
    <row r="183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</row>
    <row r="184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</row>
    <row r="18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</row>
    <row r="186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</row>
    <row r="187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</row>
    <row r="188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</row>
    <row r="189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</row>
    <row r="190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</row>
    <row r="191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</row>
    <row r="192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</row>
    <row r="193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</row>
    <row r="194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</row>
    <row r="19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</row>
    <row r="196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</row>
    <row r="197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</row>
    <row r="198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</row>
    <row r="199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</row>
    <row r="200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</row>
    <row r="201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</row>
    <row r="202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</row>
    <row r="203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</row>
    <row r="204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</row>
    <row r="20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</row>
    <row r="206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</row>
    <row r="207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</row>
    <row r="208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</row>
    <row r="209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</row>
    <row r="210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</row>
    <row r="211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</row>
    <row r="212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</row>
    <row r="213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</row>
    <row r="214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</row>
    <row r="215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</row>
    <row r="216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</row>
    <row r="217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</row>
    <row r="218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</row>
    <row r="219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</row>
    <row r="220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</row>
    <row r="222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</row>
    <row r="223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</row>
    <row r="224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</row>
    <row r="2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</row>
    <row r="226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</row>
    <row r="227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</row>
    <row r="228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</row>
    <row r="229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</row>
    <row r="230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</row>
    <row r="231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</row>
    <row r="232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</row>
    <row r="233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</row>
    <row r="234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</row>
    <row r="23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</row>
    <row r="236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</row>
    <row r="237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</row>
    <row r="238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</row>
    <row r="239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</row>
    <row r="240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</row>
    <row r="241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</row>
    <row r="242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</row>
    <row r="243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</row>
    <row r="244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</row>
    <row r="24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</row>
    <row r="246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</row>
    <row r="247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</row>
    <row r="248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</row>
    <row r="249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</row>
    <row r="250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</row>
    <row r="251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</row>
    <row r="252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</row>
    <row r="253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</row>
    <row r="254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</row>
    <row r="25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</row>
    <row r="256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</row>
    <row r="257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</row>
    <row r="258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</row>
    <row r="259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</row>
    <row r="260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</row>
    <row r="261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</row>
    <row r="262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</row>
    <row r="263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</row>
    <row r="264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</row>
    <row r="26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</row>
    <row r="266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</row>
    <row r="267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</row>
    <row r="268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</row>
    <row r="269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</row>
    <row r="270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</row>
    <row r="271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</row>
    <row r="272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</row>
    <row r="273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</row>
    <row r="274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</row>
    <row r="27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</row>
    <row r="276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</row>
    <row r="277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</row>
    <row r="278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</row>
    <row r="279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</row>
    <row r="280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</row>
    <row r="281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</row>
    <row r="282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</row>
    <row r="283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</row>
    <row r="284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</row>
    <row r="28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</row>
    <row r="286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</row>
    <row r="287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</row>
    <row r="288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</row>
    <row r="289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</row>
    <row r="290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</row>
    <row r="291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</row>
    <row r="292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</row>
    <row r="293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</row>
    <row r="294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</row>
    <row r="29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</row>
    <row r="296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</row>
    <row r="297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</row>
    <row r="298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</row>
    <row r="299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</row>
    <row r="300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</row>
    <row r="302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</row>
    <row r="303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</row>
    <row r="304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</row>
    <row r="30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</row>
    <row r="306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</row>
    <row r="307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</row>
    <row r="308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</row>
    <row r="309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</row>
    <row r="310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</row>
    <row r="311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</row>
    <row r="312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</row>
    <row r="313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</row>
    <row r="314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</row>
    <row r="31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</row>
    <row r="316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</row>
    <row r="317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</row>
    <row r="318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</row>
    <row r="319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</row>
    <row r="320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</row>
    <row r="321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</row>
    <row r="322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</row>
    <row r="323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</row>
    <row r="324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</row>
    <row r="3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</row>
    <row r="326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</row>
    <row r="327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</row>
    <row r="328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</row>
    <row r="329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</row>
    <row r="330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</row>
    <row r="331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</row>
    <row r="332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</row>
    <row r="333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</row>
    <row r="334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</row>
    <row r="335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</row>
    <row r="336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</row>
    <row r="337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</row>
    <row r="338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</row>
    <row r="339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</row>
    <row r="340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</row>
    <row r="341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</row>
    <row r="342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</row>
    <row r="343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</row>
    <row r="344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</row>
    <row r="345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</row>
    <row r="346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</row>
    <row r="347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</row>
    <row r="348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</row>
    <row r="349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</row>
    <row r="350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</row>
    <row r="351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</row>
    <row r="352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</row>
    <row r="353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</row>
    <row r="354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</row>
    <row r="355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</row>
    <row r="356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</row>
    <row r="357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</row>
    <row r="358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</row>
    <row r="359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</row>
    <row r="360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</row>
    <row r="361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</row>
    <row r="362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</row>
    <row r="363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</row>
    <row r="364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</row>
    <row r="365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</row>
    <row r="366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</row>
    <row r="367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</row>
    <row r="368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</row>
    <row r="369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</row>
    <row r="370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</row>
    <row r="371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</row>
    <row r="372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</row>
    <row r="373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</row>
    <row r="375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</row>
    <row r="376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</row>
    <row r="377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</row>
    <row r="378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</row>
    <row r="379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</row>
    <row r="380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</row>
    <row r="381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</row>
    <row r="382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</row>
    <row r="383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</row>
    <row r="384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</row>
    <row r="385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</row>
    <row r="386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</row>
    <row r="387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</row>
    <row r="388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</row>
    <row r="389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</row>
    <row r="390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</row>
    <row r="391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</row>
    <row r="392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</row>
    <row r="393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</row>
    <row r="394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</row>
    <row r="395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</row>
    <row r="396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</row>
    <row r="397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</row>
    <row r="398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</row>
    <row r="399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</row>
    <row r="400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</row>
    <row r="401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</row>
    <row r="402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</row>
    <row r="403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</row>
    <row r="404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</row>
    <row r="405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</row>
    <row r="406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</row>
    <row r="407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</row>
    <row r="408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</row>
    <row r="409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</row>
    <row r="410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</row>
    <row r="411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</row>
    <row r="412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</row>
    <row r="413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</row>
    <row r="414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</row>
    <row r="415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</row>
    <row r="416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</row>
    <row r="417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</row>
    <row r="418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</row>
    <row r="419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</row>
    <row r="420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</row>
    <row r="421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</row>
    <row r="422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</row>
    <row r="423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</row>
    <row r="424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</row>
    <row r="425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</row>
    <row r="426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</row>
    <row r="427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</row>
    <row r="428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</row>
    <row r="429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</row>
    <row r="430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</row>
    <row r="431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</row>
    <row r="432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</row>
    <row r="433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</row>
    <row r="434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</row>
    <row r="435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</row>
    <row r="436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</row>
    <row r="437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</row>
    <row r="438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</row>
    <row r="439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</row>
    <row r="440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</row>
    <row r="441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</row>
    <row r="442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</row>
    <row r="443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</row>
    <row r="444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</row>
    <row r="445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</row>
    <row r="446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</row>
    <row r="447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</row>
    <row r="448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</row>
    <row r="449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</row>
    <row r="450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</row>
    <row r="451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</row>
    <row r="452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</row>
    <row r="453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</row>
    <row r="454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</row>
    <row r="455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</row>
    <row r="456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</row>
    <row r="457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</row>
    <row r="458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</row>
    <row r="459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</row>
    <row r="460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</row>
    <row r="461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</row>
    <row r="462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</row>
    <row r="463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</row>
    <row r="464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</row>
    <row r="465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</row>
    <row r="466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</row>
    <row r="467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</row>
    <row r="468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</row>
    <row r="469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</row>
    <row r="470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</row>
    <row r="471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</row>
    <row r="472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</row>
    <row r="473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</row>
    <row r="474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</row>
    <row r="475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</row>
    <row r="476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</row>
    <row r="477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</row>
    <row r="478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</row>
    <row r="479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</row>
    <row r="480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</row>
    <row r="481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</row>
    <row r="482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</row>
    <row r="483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</row>
    <row r="484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</row>
    <row r="485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</row>
    <row r="486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</row>
    <row r="487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</row>
    <row r="488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</row>
    <row r="489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</row>
    <row r="490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</row>
    <row r="491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</row>
    <row r="492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</row>
    <row r="493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</row>
    <row r="494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</row>
    <row r="495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</row>
    <row r="496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</row>
    <row r="497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</row>
    <row r="498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</row>
    <row r="499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</row>
    <row r="500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</row>
    <row r="50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</row>
    <row r="502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</row>
    <row r="503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</row>
    <row r="504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</row>
    <row r="505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</row>
    <row r="506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</row>
    <row r="507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</row>
    <row r="508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</row>
    <row r="509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</row>
    <row r="510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</row>
    <row r="51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</row>
    <row r="512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</row>
    <row r="513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</row>
    <row r="514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</row>
    <row r="516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</row>
    <row r="517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</row>
    <row r="518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</row>
    <row r="519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</row>
    <row r="520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</row>
    <row r="52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</row>
    <row r="522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</row>
    <row r="523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</row>
    <row r="524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</row>
    <row r="525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</row>
    <row r="526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</row>
    <row r="527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</row>
    <row r="528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</row>
    <row r="529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</row>
    <row r="530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</row>
    <row r="53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</row>
    <row r="532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</row>
    <row r="533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</row>
    <row r="534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</row>
    <row r="535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</row>
    <row r="536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</row>
    <row r="537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</row>
    <row r="538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</row>
    <row r="539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</row>
    <row r="540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</row>
    <row r="54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</row>
    <row r="542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</row>
    <row r="543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</row>
    <row r="544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</row>
    <row r="545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</row>
    <row r="547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</row>
    <row r="548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</row>
    <row r="549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</row>
    <row r="550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</row>
    <row r="55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</row>
    <row r="552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</row>
    <row r="553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</row>
    <row r="554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</row>
    <row r="555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</row>
    <row r="556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</row>
    <row r="557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</row>
    <row r="558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</row>
    <row r="559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</row>
    <row r="560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</row>
    <row r="561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</row>
    <row r="562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</row>
    <row r="563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</row>
    <row r="564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</row>
    <row r="56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</row>
    <row r="566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</row>
    <row r="568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</row>
    <row r="569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</row>
    <row r="570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</row>
    <row r="571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</row>
    <row r="572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</row>
    <row r="573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</row>
    <row r="574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</row>
    <row r="575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</row>
    <row r="576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</row>
    <row r="577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</row>
    <row r="578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</row>
    <row r="579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</row>
    <row r="580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</row>
    <row r="581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</row>
    <row r="582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</row>
    <row r="583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</row>
    <row r="584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</row>
    <row r="585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</row>
    <row r="586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</row>
    <row r="587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</row>
    <row r="588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</row>
    <row r="589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</row>
    <row r="590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</row>
    <row r="591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</row>
    <row r="592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</row>
    <row r="593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</row>
    <row r="594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</row>
    <row r="595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</row>
    <row r="596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</row>
    <row r="597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</row>
    <row r="598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</row>
    <row r="599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</row>
    <row r="600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</row>
    <row r="601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</row>
    <row r="602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</row>
    <row r="603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</row>
    <row r="604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</row>
    <row r="605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</row>
    <row r="606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</row>
    <row r="607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</row>
    <row r="608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</row>
    <row r="609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</row>
    <row r="610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</row>
    <row r="611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</row>
    <row r="612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</row>
    <row r="613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</row>
    <row r="614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</row>
    <row r="615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</row>
    <row r="616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</row>
    <row r="617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</row>
    <row r="618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</row>
    <row r="619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</row>
    <row r="620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</row>
    <row r="621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</row>
    <row r="622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</row>
    <row r="623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</row>
    <row r="624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</row>
    <row r="625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</row>
    <row r="626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</row>
    <row r="627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</row>
    <row r="628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</row>
    <row r="629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</row>
    <row r="630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</row>
    <row r="631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</row>
    <row r="632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</row>
    <row r="633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</row>
    <row r="634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</row>
    <row r="635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</row>
    <row r="636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</row>
    <row r="637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</row>
    <row r="638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</row>
    <row r="639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</row>
    <row r="640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</row>
    <row r="641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</row>
    <row r="642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</row>
    <row r="643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</row>
    <row r="644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</row>
    <row r="645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</row>
    <row r="646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</row>
    <row r="647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</row>
    <row r="648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</row>
    <row r="649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</row>
    <row r="650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</row>
    <row r="651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</row>
    <row r="652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</row>
    <row r="653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</row>
    <row r="654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</row>
    <row r="655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</row>
    <row r="656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</row>
    <row r="657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</row>
    <row r="658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</row>
    <row r="659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</row>
    <row r="660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</row>
    <row r="661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</row>
    <row r="662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</row>
    <row r="663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</row>
    <row r="664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</row>
    <row r="665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</row>
    <row r="666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</row>
    <row r="667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</row>
    <row r="668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</row>
    <row r="669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</row>
    <row r="670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</row>
    <row r="671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</row>
    <row r="672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</row>
    <row r="673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</row>
    <row r="674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</row>
    <row r="675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</row>
    <row r="676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</row>
    <row r="677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</row>
    <row r="678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</row>
    <row r="679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</row>
    <row r="680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</row>
    <row r="681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</row>
    <row r="682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</row>
    <row r="683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</row>
    <row r="684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</row>
    <row r="685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</row>
    <row r="686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</row>
    <row r="687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</row>
    <row r="688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</row>
    <row r="689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</row>
    <row r="690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</row>
    <row r="691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</row>
    <row r="692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</row>
    <row r="693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</row>
    <row r="694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</row>
    <row r="695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</row>
    <row r="696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</row>
    <row r="697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</row>
    <row r="698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</row>
    <row r="699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</row>
    <row r="700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</row>
    <row r="701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</row>
    <row r="702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</row>
    <row r="703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</row>
    <row r="704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</row>
    <row r="705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</row>
    <row r="706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</row>
    <row r="707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</row>
    <row r="708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</row>
    <row r="709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</row>
    <row r="710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</row>
    <row r="711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</row>
    <row r="712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</row>
    <row r="713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</row>
    <row r="714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</row>
    <row r="715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</row>
    <row r="716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</row>
    <row r="717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</row>
    <row r="718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</row>
    <row r="719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</row>
    <row r="720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</row>
    <row r="721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</row>
    <row r="722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</row>
    <row r="723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</row>
    <row r="724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</row>
    <row r="725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</row>
    <row r="726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</row>
    <row r="727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</row>
    <row r="728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</row>
    <row r="729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</row>
    <row r="730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</row>
    <row r="731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</row>
    <row r="732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</row>
    <row r="733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</row>
    <row r="734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</row>
    <row r="735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</row>
    <row r="736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</row>
    <row r="737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</row>
    <row r="738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</row>
    <row r="739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</row>
    <row r="740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</row>
    <row r="741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</row>
    <row r="742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</row>
    <row r="743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</row>
    <row r="744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</row>
    <row r="745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</row>
    <row r="746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</row>
    <row r="747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</row>
    <row r="748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</row>
    <row r="749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</row>
    <row r="750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</row>
    <row r="751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</row>
    <row r="752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</row>
    <row r="753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</row>
    <row r="754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</row>
    <row r="755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</row>
    <row r="756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</row>
    <row r="757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</row>
    <row r="758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</row>
    <row r="759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</row>
    <row r="760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</row>
    <row r="761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</row>
    <row r="762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</row>
    <row r="763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</row>
    <row r="764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</row>
    <row r="765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</row>
    <row r="766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</row>
    <row r="767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</row>
    <row r="768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</row>
    <row r="769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</row>
    <row r="770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</row>
    <row r="771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</row>
    <row r="772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</row>
    <row r="773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</row>
    <row r="774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</row>
    <row r="775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</row>
    <row r="776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</row>
    <row r="777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</row>
    <row r="778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</row>
    <row r="779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</row>
    <row r="780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</row>
    <row r="781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</row>
    <row r="782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</row>
    <row r="783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</row>
    <row r="784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</row>
    <row r="785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</row>
    <row r="786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</row>
    <row r="787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</row>
    <row r="788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</row>
    <row r="789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</row>
    <row r="790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</row>
    <row r="791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</row>
    <row r="792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</row>
    <row r="793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</row>
    <row r="794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</row>
    <row r="795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</row>
    <row r="796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</row>
    <row r="797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</row>
    <row r="798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</row>
    <row r="799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</row>
    <row r="800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</row>
    <row r="801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</row>
    <row r="802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</row>
    <row r="803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</row>
    <row r="804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</row>
    <row r="805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</row>
    <row r="806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</row>
    <row r="807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</row>
    <row r="808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</row>
    <row r="809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</row>
    <row r="810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</row>
    <row r="811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</row>
    <row r="812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</row>
    <row r="813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</row>
    <row r="814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</row>
    <row r="815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</row>
    <row r="816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</row>
    <row r="817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</row>
    <row r="818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</row>
    <row r="819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</row>
    <row r="820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</row>
    <row r="821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</row>
    <row r="822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</row>
    <row r="823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</row>
    <row r="824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</row>
    <row r="825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</row>
    <row r="826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</row>
    <row r="827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</row>
    <row r="828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</row>
    <row r="829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</row>
    <row r="830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</row>
    <row r="831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</row>
    <row r="832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</row>
    <row r="833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</row>
    <row r="834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</row>
    <row r="835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</row>
    <row r="836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</row>
    <row r="837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</row>
    <row r="838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</row>
    <row r="839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</row>
    <row r="840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</row>
    <row r="841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</row>
    <row r="842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</row>
    <row r="843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</row>
    <row r="844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</row>
    <row r="845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</row>
    <row r="846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</row>
    <row r="847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</row>
    <row r="848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</row>
    <row r="849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</row>
    <row r="850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</row>
    <row r="851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</row>
    <row r="852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</row>
    <row r="853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</row>
    <row r="854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</row>
    <row r="855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</row>
    <row r="856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</row>
    <row r="857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</row>
    <row r="858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</row>
    <row r="859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</row>
    <row r="860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</row>
    <row r="861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</row>
    <row r="862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</row>
    <row r="863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</row>
    <row r="864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</row>
    <row r="865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</row>
    <row r="866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</row>
    <row r="867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</row>
    <row r="868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</row>
    <row r="869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</row>
    <row r="870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</row>
    <row r="871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</row>
    <row r="872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</row>
    <row r="873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</row>
    <row r="874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</row>
    <row r="875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</row>
    <row r="876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</row>
    <row r="877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</row>
    <row r="878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</row>
    <row r="879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</row>
    <row r="880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</row>
    <row r="881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</row>
    <row r="882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</row>
    <row r="883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</row>
    <row r="884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</row>
    <row r="885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</row>
    <row r="886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</row>
    <row r="887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</row>
    <row r="888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</row>
    <row r="889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</row>
    <row r="890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</row>
    <row r="891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</row>
    <row r="892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</row>
    <row r="893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</row>
    <row r="894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</row>
    <row r="895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</row>
    <row r="896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</row>
    <row r="897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</row>
    <row r="898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</row>
    <row r="899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</row>
    <row r="900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</row>
    <row r="901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</row>
    <row r="902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</row>
    <row r="903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</row>
    <row r="904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</row>
    <row r="905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</row>
    <row r="906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</row>
    <row r="907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</row>
    <row r="908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</row>
    <row r="909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</row>
    <row r="910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</row>
    <row r="911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</row>
    <row r="912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</row>
    <row r="913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</row>
    <row r="914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</row>
    <row r="915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</row>
    <row r="916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</row>
    <row r="917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</row>
    <row r="918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</row>
    <row r="919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</row>
    <row r="920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</row>
    <row r="921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</row>
    <row r="922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</row>
    <row r="923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</row>
    <row r="924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</row>
    <row r="925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</row>
    <row r="926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</row>
    <row r="927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</row>
    <row r="928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</row>
    <row r="929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</row>
    <row r="930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</row>
    <row r="931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</row>
    <row r="932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</row>
    <row r="933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</row>
    <row r="934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</row>
    <row r="935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</row>
    <row r="936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</row>
    <row r="937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</row>
    <row r="938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</row>
    <row r="939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</row>
    <row r="940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</row>
    <row r="941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</row>
    <row r="942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</row>
    <row r="943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</row>
    <row r="944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</row>
    <row r="945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</row>
    <row r="946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</row>
    <row r="947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</row>
    <row r="948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</row>
    <row r="949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</row>
    <row r="950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</row>
    <row r="951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</row>
    <row r="952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</row>
    <row r="953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</row>
    <row r="954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</row>
    <row r="955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</row>
    <row r="956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</row>
    <row r="957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</row>
    <row r="958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</row>
    <row r="959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</row>
    <row r="960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</row>
    <row r="961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</row>
    <row r="962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</row>
    <row r="963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</row>
    <row r="964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</row>
    <row r="965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</row>
    <row r="966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</row>
    <row r="967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</row>
    <row r="968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</row>
    <row r="969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</row>
    <row r="970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</row>
    <row r="971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</row>
    <row r="972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</row>
    <row r="973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</row>
    <row r="974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</row>
    <row r="975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</row>
    <row r="976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</row>
    <row r="977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</row>
    <row r="978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</row>
    <row r="979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</row>
    <row r="980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</row>
    <row r="981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</row>
    <row r="982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</row>
    <row r="983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</row>
    <row r="984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</row>
    <row r="985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</row>
    <row r="986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</row>
    <row r="987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</row>
    <row r="988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</row>
    <row r="989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</row>
    <row r="990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</row>
    <row r="991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</row>
    <row r="992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</row>
    <row r="993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</row>
    <row r="994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</row>
    <row r="995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</row>
    <row r="996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</row>
    <row r="997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</row>
    <row r="998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</row>
    <row r="999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</row>
    <row r="1000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</row>
    <row r="1001"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</row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</cols>
  <sheetData>
    <row r="1">
      <c r="A1" s="26" t="s">
        <v>370</v>
      </c>
      <c r="B1" s="27" t="s">
        <v>371</v>
      </c>
    </row>
    <row r="2">
      <c r="A2" s="26" t="s">
        <v>372</v>
      </c>
      <c r="B2" s="27" t="s">
        <v>366</v>
      </c>
    </row>
    <row r="3">
      <c r="A3" s="26" t="s">
        <v>373</v>
      </c>
      <c r="B3" s="27" t="s">
        <v>366</v>
      </c>
    </row>
    <row r="4">
      <c r="A4" s="26" t="s">
        <v>374</v>
      </c>
      <c r="B4" s="27" t="s">
        <v>366</v>
      </c>
    </row>
    <row r="5">
      <c r="A5" s="26" t="s">
        <v>375</v>
      </c>
      <c r="B5" s="27" t="s">
        <v>366</v>
      </c>
    </row>
    <row r="6">
      <c r="A6" s="26" t="s">
        <v>376</v>
      </c>
      <c r="B6" s="27" t="s">
        <v>366</v>
      </c>
    </row>
    <row r="7">
      <c r="A7" s="26" t="s">
        <v>377</v>
      </c>
      <c r="B7" s="27" t="s">
        <v>366</v>
      </c>
    </row>
    <row r="8">
      <c r="A8" s="26" t="s">
        <v>378</v>
      </c>
      <c r="B8" s="27" t="s">
        <v>17</v>
      </c>
    </row>
    <row r="9">
      <c r="A9" s="26" t="s">
        <v>379</v>
      </c>
      <c r="B9" s="27" t="s">
        <v>17</v>
      </c>
    </row>
    <row r="10">
      <c r="A10" s="26" t="s">
        <v>380</v>
      </c>
      <c r="B10" s="27" t="s">
        <v>17</v>
      </c>
    </row>
    <row r="11">
      <c r="A11" s="26" t="s">
        <v>381</v>
      </c>
      <c r="B11" s="27" t="s">
        <v>17</v>
      </c>
    </row>
    <row r="12">
      <c r="A12" s="26" t="s">
        <v>382</v>
      </c>
      <c r="B12" s="27" t="s">
        <v>17</v>
      </c>
    </row>
    <row r="13">
      <c r="A13" s="26" t="s">
        <v>383</v>
      </c>
      <c r="B13" s="27" t="s">
        <v>17</v>
      </c>
    </row>
    <row r="14">
      <c r="A14" s="26" t="s">
        <v>384</v>
      </c>
      <c r="B14" s="27" t="s">
        <v>17</v>
      </c>
    </row>
    <row r="15">
      <c r="A15" s="26" t="s">
        <v>385</v>
      </c>
      <c r="B15" s="27" t="s">
        <v>17</v>
      </c>
    </row>
    <row r="16">
      <c r="A16" s="26" t="s">
        <v>386</v>
      </c>
      <c r="B16" s="27" t="s">
        <v>17</v>
      </c>
    </row>
    <row r="17">
      <c r="A17" s="26" t="s">
        <v>387</v>
      </c>
      <c r="B17" s="27" t="s">
        <v>17</v>
      </c>
    </row>
    <row r="18">
      <c r="A18" s="26" t="s">
        <v>388</v>
      </c>
      <c r="B18" s="27" t="s">
        <v>17</v>
      </c>
    </row>
    <row r="19">
      <c r="A19" s="26" t="s">
        <v>389</v>
      </c>
      <c r="B19" s="27" t="s">
        <v>17</v>
      </c>
    </row>
    <row r="20">
      <c r="A20" s="26" t="s">
        <v>390</v>
      </c>
      <c r="B20" s="27" t="s">
        <v>17</v>
      </c>
    </row>
    <row r="21">
      <c r="A21" s="26" t="s">
        <v>391</v>
      </c>
      <c r="B21" s="27" t="s">
        <v>17</v>
      </c>
    </row>
    <row r="22">
      <c r="A22" s="26" t="s">
        <v>392</v>
      </c>
      <c r="B22" s="27" t="s">
        <v>17</v>
      </c>
    </row>
    <row r="23">
      <c r="A23" s="26" t="s">
        <v>393</v>
      </c>
      <c r="B23" s="27" t="s">
        <v>17</v>
      </c>
    </row>
    <row r="24">
      <c r="A24" s="26" t="s">
        <v>394</v>
      </c>
      <c r="B24" s="27" t="s">
        <v>17</v>
      </c>
    </row>
    <row r="25">
      <c r="A25" s="26" t="s">
        <v>395</v>
      </c>
      <c r="B25" s="27" t="s">
        <v>17</v>
      </c>
    </row>
    <row r="26">
      <c r="A26" s="26" t="s">
        <v>396</v>
      </c>
      <c r="B26" s="27" t="s">
        <v>17</v>
      </c>
    </row>
    <row r="27">
      <c r="A27" s="26" t="s">
        <v>397</v>
      </c>
      <c r="B27" s="27" t="s">
        <v>17</v>
      </c>
    </row>
    <row r="28">
      <c r="A28" s="26" t="s">
        <v>398</v>
      </c>
      <c r="B28" s="27" t="s">
        <v>17</v>
      </c>
    </row>
    <row r="29">
      <c r="A29" s="26" t="s">
        <v>399</v>
      </c>
      <c r="B29" s="27" t="s">
        <v>17</v>
      </c>
    </row>
    <row r="30">
      <c r="A30" s="26" t="s">
        <v>400</v>
      </c>
      <c r="B30" s="27" t="s">
        <v>17</v>
      </c>
    </row>
    <row r="31">
      <c r="A31" s="26" t="s">
        <v>401</v>
      </c>
      <c r="B31" s="27" t="s">
        <v>17</v>
      </c>
    </row>
    <row r="32">
      <c r="A32" s="26" t="s">
        <v>402</v>
      </c>
      <c r="B32" s="27" t="s">
        <v>17</v>
      </c>
    </row>
    <row r="33">
      <c r="A33" s="26" t="s">
        <v>403</v>
      </c>
      <c r="B33" s="27" t="s">
        <v>17</v>
      </c>
    </row>
    <row r="34">
      <c r="A34" s="26" t="s">
        <v>404</v>
      </c>
      <c r="B34" s="27" t="s">
        <v>17</v>
      </c>
    </row>
    <row r="35">
      <c r="A35" s="26" t="s">
        <v>405</v>
      </c>
      <c r="B35" s="27" t="s">
        <v>17</v>
      </c>
    </row>
    <row r="36">
      <c r="A36" s="26" t="s">
        <v>406</v>
      </c>
      <c r="B36" s="27" t="s">
        <v>17</v>
      </c>
    </row>
    <row r="37">
      <c r="A37" s="26" t="s">
        <v>407</v>
      </c>
      <c r="B37" s="27" t="s">
        <v>17</v>
      </c>
    </row>
    <row r="38">
      <c r="A38" s="26" t="s">
        <v>408</v>
      </c>
      <c r="B38" s="27" t="s">
        <v>17</v>
      </c>
    </row>
    <row r="39">
      <c r="A39" s="26" t="s">
        <v>409</v>
      </c>
      <c r="B39" s="27" t="s">
        <v>17</v>
      </c>
    </row>
    <row r="40">
      <c r="A40" s="26" t="s">
        <v>410</v>
      </c>
      <c r="B40" s="27" t="s">
        <v>17</v>
      </c>
    </row>
    <row r="41">
      <c r="A41" s="26" t="s">
        <v>411</v>
      </c>
      <c r="B41" s="27" t="s">
        <v>17</v>
      </c>
    </row>
    <row r="42">
      <c r="A42" s="26" t="s">
        <v>412</v>
      </c>
      <c r="B42" s="27" t="s">
        <v>17</v>
      </c>
    </row>
    <row r="43">
      <c r="A43" s="26" t="s">
        <v>413</v>
      </c>
      <c r="B43" s="27" t="s">
        <v>17</v>
      </c>
    </row>
    <row r="44">
      <c r="A44" s="26" t="s">
        <v>414</v>
      </c>
      <c r="B44" s="27" t="s">
        <v>17</v>
      </c>
    </row>
    <row r="45">
      <c r="A45" s="26" t="s">
        <v>415</v>
      </c>
      <c r="B45" s="27" t="s">
        <v>17</v>
      </c>
    </row>
    <row r="46">
      <c r="A46" s="26" t="s">
        <v>416</v>
      </c>
      <c r="B46" s="27" t="s">
        <v>17</v>
      </c>
    </row>
    <row r="47">
      <c r="A47" s="26" t="s">
        <v>417</v>
      </c>
      <c r="B47" s="27" t="s">
        <v>17</v>
      </c>
    </row>
    <row r="48">
      <c r="A48" s="1" t="s">
        <v>165</v>
      </c>
      <c r="B48" s="27" t="s">
        <v>17</v>
      </c>
    </row>
    <row r="49">
      <c r="A49" s="26" t="s">
        <v>418</v>
      </c>
      <c r="B49" s="27" t="s">
        <v>17</v>
      </c>
    </row>
    <row r="50">
      <c r="A50" s="26" t="s">
        <v>419</v>
      </c>
      <c r="B50" s="27" t="s">
        <v>17</v>
      </c>
    </row>
    <row r="51">
      <c r="A51" s="26" t="s">
        <v>420</v>
      </c>
      <c r="B51" s="27" t="s">
        <v>17</v>
      </c>
    </row>
    <row r="52">
      <c r="A52" s="26" t="s">
        <v>421</v>
      </c>
      <c r="B52" s="27" t="s">
        <v>17</v>
      </c>
    </row>
    <row r="53">
      <c r="A53" s="26" t="s">
        <v>422</v>
      </c>
      <c r="B53" s="27" t="s">
        <v>17</v>
      </c>
    </row>
    <row r="54">
      <c r="A54" s="26" t="s">
        <v>423</v>
      </c>
      <c r="B54" s="27" t="s">
        <v>17</v>
      </c>
    </row>
    <row r="55">
      <c r="A55" s="26" t="s">
        <v>424</v>
      </c>
      <c r="B55" s="27" t="s">
        <v>17</v>
      </c>
    </row>
    <row r="56">
      <c r="A56" s="26" t="s">
        <v>425</v>
      </c>
      <c r="B56" s="27" t="s">
        <v>17</v>
      </c>
    </row>
    <row r="57">
      <c r="A57" s="26" t="s">
        <v>426</v>
      </c>
      <c r="B57" s="27" t="s">
        <v>17</v>
      </c>
    </row>
    <row r="58">
      <c r="A58" s="26" t="s">
        <v>427</v>
      </c>
      <c r="B58" s="27" t="s">
        <v>17</v>
      </c>
    </row>
    <row r="59">
      <c r="A59" s="26" t="s">
        <v>428</v>
      </c>
      <c r="B59" s="27" t="s">
        <v>17</v>
      </c>
    </row>
    <row r="60">
      <c r="A60" s="26" t="s">
        <v>429</v>
      </c>
      <c r="B60" s="27" t="s">
        <v>17</v>
      </c>
    </row>
    <row r="61">
      <c r="A61" s="26" t="s">
        <v>430</v>
      </c>
      <c r="B61" s="27" t="s">
        <v>17</v>
      </c>
    </row>
    <row r="62">
      <c r="A62" s="26" t="s">
        <v>431</v>
      </c>
      <c r="B62" s="27" t="s">
        <v>17</v>
      </c>
    </row>
    <row r="63">
      <c r="A63" s="26" t="s">
        <v>432</v>
      </c>
      <c r="B63" s="27" t="s">
        <v>17</v>
      </c>
    </row>
    <row r="64">
      <c r="A64" s="26" t="s">
        <v>433</v>
      </c>
      <c r="B64" s="27" t="s">
        <v>17</v>
      </c>
    </row>
    <row r="65">
      <c r="A65" s="26" t="s">
        <v>434</v>
      </c>
      <c r="B65" s="27" t="s">
        <v>17</v>
      </c>
    </row>
    <row r="66">
      <c r="A66" s="26" t="s">
        <v>435</v>
      </c>
      <c r="B66" s="27" t="s">
        <v>17</v>
      </c>
    </row>
    <row r="67">
      <c r="A67" s="26" t="s">
        <v>436</v>
      </c>
      <c r="B67" s="27" t="s">
        <v>17</v>
      </c>
    </row>
    <row r="68">
      <c r="A68" s="26" t="s">
        <v>437</v>
      </c>
      <c r="B68" s="27" t="s">
        <v>17</v>
      </c>
    </row>
    <row r="69">
      <c r="A69" s="26" t="s">
        <v>438</v>
      </c>
      <c r="B69" s="27" t="s">
        <v>17</v>
      </c>
    </row>
    <row r="70">
      <c r="A70" s="26" t="s">
        <v>439</v>
      </c>
      <c r="B70" s="27" t="s">
        <v>17</v>
      </c>
    </row>
    <row r="71">
      <c r="A71" s="26" t="s">
        <v>440</v>
      </c>
      <c r="B71" s="27" t="s">
        <v>17</v>
      </c>
    </row>
    <row r="72">
      <c r="A72" s="26" t="s">
        <v>441</v>
      </c>
      <c r="B72" s="27" t="s">
        <v>17</v>
      </c>
    </row>
    <row r="73">
      <c r="A73" s="26" t="s">
        <v>442</v>
      </c>
      <c r="B73" s="27" t="s">
        <v>17</v>
      </c>
    </row>
    <row r="74">
      <c r="A74" s="26" t="s">
        <v>443</v>
      </c>
      <c r="B74" s="27" t="s">
        <v>17</v>
      </c>
    </row>
    <row r="75">
      <c r="A75" s="26" t="s">
        <v>444</v>
      </c>
      <c r="B75" s="27" t="s">
        <v>17</v>
      </c>
    </row>
    <row r="76">
      <c r="A76" s="26" t="s">
        <v>445</v>
      </c>
      <c r="B76" s="27" t="s">
        <v>17</v>
      </c>
    </row>
    <row r="77">
      <c r="A77" s="26" t="s">
        <v>446</v>
      </c>
      <c r="B77" s="27" t="s">
        <v>17</v>
      </c>
    </row>
    <row r="78">
      <c r="A78" s="26" t="s">
        <v>447</v>
      </c>
      <c r="B78" s="27" t="s">
        <v>17</v>
      </c>
    </row>
    <row r="79">
      <c r="A79" s="26" t="s">
        <v>448</v>
      </c>
      <c r="B79" s="27" t="s">
        <v>17</v>
      </c>
    </row>
    <row r="80">
      <c r="A80" s="26" t="s">
        <v>449</v>
      </c>
      <c r="B80" s="27" t="s">
        <v>17</v>
      </c>
    </row>
    <row r="81">
      <c r="A81" s="26" t="s">
        <v>450</v>
      </c>
      <c r="B81" s="27" t="s">
        <v>40</v>
      </c>
    </row>
    <row r="82">
      <c r="A82" s="26" t="s">
        <v>147</v>
      </c>
      <c r="B82" s="27" t="s">
        <v>40</v>
      </c>
    </row>
    <row r="83">
      <c r="A83" s="26" t="s">
        <v>451</v>
      </c>
      <c r="B83" s="27" t="s">
        <v>40</v>
      </c>
    </row>
    <row r="84">
      <c r="A84" s="26" t="s">
        <v>452</v>
      </c>
      <c r="B84" s="27" t="s">
        <v>40</v>
      </c>
    </row>
    <row r="85">
      <c r="A85" s="26" t="s">
        <v>453</v>
      </c>
      <c r="B85" s="27" t="s">
        <v>40</v>
      </c>
    </row>
    <row r="86">
      <c r="A86" s="26" t="s">
        <v>454</v>
      </c>
      <c r="B86" s="27" t="s">
        <v>40</v>
      </c>
    </row>
    <row r="87">
      <c r="A87" s="26" t="s">
        <v>455</v>
      </c>
      <c r="B87" s="27" t="s">
        <v>40</v>
      </c>
    </row>
    <row r="88">
      <c r="A88" s="26" t="s">
        <v>456</v>
      </c>
      <c r="B88" s="27" t="s">
        <v>40</v>
      </c>
    </row>
    <row r="89">
      <c r="A89" s="1" t="s">
        <v>60</v>
      </c>
      <c r="B89" s="27" t="s">
        <v>40</v>
      </c>
    </row>
    <row r="90">
      <c r="A90" s="1" t="s">
        <v>457</v>
      </c>
      <c r="B90" s="27" t="s">
        <v>40</v>
      </c>
    </row>
    <row r="91">
      <c r="A91" s="26" t="s">
        <v>458</v>
      </c>
      <c r="B91" s="27" t="s">
        <v>40</v>
      </c>
    </row>
    <row r="92">
      <c r="A92" s="26" t="s">
        <v>459</v>
      </c>
      <c r="B92" s="27" t="s">
        <v>40</v>
      </c>
    </row>
    <row r="93">
      <c r="A93" s="26" t="s">
        <v>460</v>
      </c>
      <c r="B93" s="27" t="s">
        <v>40</v>
      </c>
    </row>
    <row r="94">
      <c r="A94" s="26" t="s">
        <v>461</v>
      </c>
      <c r="B94" s="27" t="s">
        <v>40</v>
      </c>
    </row>
    <row r="95">
      <c r="A95" s="26" t="s">
        <v>462</v>
      </c>
      <c r="B95" s="27" t="s">
        <v>50</v>
      </c>
    </row>
    <row r="96">
      <c r="A96" s="26" t="s">
        <v>463</v>
      </c>
      <c r="B96" s="27" t="s">
        <v>50</v>
      </c>
    </row>
    <row r="97">
      <c r="A97" s="1" t="s">
        <v>464</v>
      </c>
      <c r="B97" s="27" t="s">
        <v>50</v>
      </c>
    </row>
    <row r="98">
      <c r="A98" s="26" t="s">
        <v>465</v>
      </c>
      <c r="B98" s="27" t="s">
        <v>50</v>
      </c>
    </row>
    <row r="99">
      <c r="A99" s="26" t="s">
        <v>466</v>
      </c>
      <c r="B99" s="27" t="s">
        <v>50</v>
      </c>
    </row>
    <row r="100">
      <c r="A100" s="1" t="s">
        <v>467</v>
      </c>
      <c r="B100" s="27" t="s">
        <v>50</v>
      </c>
    </row>
    <row r="101">
      <c r="A101" s="26" t="s">
        <v>468</v>
      </c>
      <c r="B101" s="27" t="s">
        <v>50</v>
      </c>
    </row>
    <row r="102">
      <c r="A102" s="26" t="s">
        <v>469</v>
      </c>
      <c r="B102" s="27" t="s">
        <v>50</v>
      </c>
    </row>
    <row r="103">
      <c r="A103" s="26" t="s">
        <v>470</v>
      </c>
      <c r="B103" s="27" t="s">
        <v>50</v>
      </c>
    </row>
    <row r="104">
      <c r="A104" s="1" t="s">
        <v>144</v>
      </c>
      <c r="B104" s="27" t="s">
        <v>50</v>
      </c>
    </row>
    <row r="105">
      <c r="A105" s="26" t="s">
        <v>471</v>
      </c>
      <c r="B105" s="27" t="s">
        <v>50</v>
      </c>
    </row>
    <row r="106">
      <c r="A106" s="26" t="s">
        <v>472</v>
      </c>
      <c r="B106" s="27" t="s">
        <v>50</v>
      </c>
    </row>
    <row r="107">
      <c r="A107" s="26" t="s">
        <v>473</v>
      </c>
      <c r="B107" s="27" t="s">
        <v>50</v>
      </c>
    </row>
    <row r="108">
      <c r="A108" s="26" t="s">
        <v>474</v>
      </c>
      <c r="B108" s="27" t="s">
        <v>50</v>
      </c>
    </row>
    <row r="109">
      <c r="A109" s="26" t="s">
        <v>475</v>
      </c>
      <c r="B109" s="27" t="s">
        <v>50</v>
      </c>
    </row>
    <row r="110">
      <c r="A110" s="26" t="s">
        <v>476</v>
      </c>
      <c r="B110" s="27" t="s">
        <v>50</v>
      </c>
    </row>
    <row r="111">
      <c r="A111" s="26" t="s">
        <v>477</v>
      </c>
      <c r="B111" s="27" t="s">
        <v>50</v>
      </c>
    </row>
    <row r="112">
      <c r="A112" s="26" t="s">
        <v>478</v>
      </c>
      <c r="B112" s="27" t="s">
        <v>50</v>
      </c>
    </row>
    <row r="113">
      <c r="A113" s="1" t="s">
        <v>142</v>
      </c>
      <c r="B113" s="27" t="s">
        <v>50</v>
      </c>
    </row>
    <row r="114">
      <c r="A114" s="26" t="s">
        <v>479</v>
      </c>
      <c r="B114" s="27" t="s">
        <v>28</v>
      </c>
    </row>
    <row r="115">
      <c r="A115" s="26" t="s">
        <v>480</v>
      </c>
      <c r="B115" s="27" t="s">
        <v>28</v>
      </c>
    </row>
    <row r="116">
      <c r="A116" s="1" t="s">
        <v>18</v>
      </c>
      <c r="B116" s="27" t="s">
        <v>28</v>
      </c>
    </row>
    <row r="117">
      <c r="A117" s="26" t="s">
        <v>481</v>
      </c>
      <c r="B117" s="27" t="s">
        <v>15</v>
      </c>
    </row>
    <row r="118">
      <c r="A118" s="26" t="s">
        <v>482</v>
      </c>
      <c r="B118" s="27" t="s">
        <v>15</v>
      </c>
    </row>
    <row r="119">
      <c r="A119" s="26" t="s">
        <v>483</v>
      </c>
      <c r="B119" s="27" t="s">
        <v>15</v>
      </c>
    </row>
    <row r="120">
      <c r="A120" s="26" t="s">
        <v>484</v>
      </c>
      <c r="B120" s="27" t="s">
        <v>15</v>
      </c>
    </row>
    <row r="121">
      <c r="A121" s="26" t="s">
        <v>485</v>
      </c>
      <c r="B121" s="27" t="s">
        <v>15</v>
      </c>
    </row>
    <row r="122">
      <c r="A122" s="26" t="s">
        <v>486</v>
      </c>
      <c r="B122" s="27" t="s">
        <v>15</v>
      </c>
    </row>
    <row r="123">
      <c r="A123" s="26" t="s">
        <v>487</v>
      </c>
      <c r="B123" s="27" t="s">
        <v>15</v>
      </c>
    </row>
    <row r="124">
      <c r="A124" s="26" t="s">
        <v>488</v>
      </c>
      <c r="B124" s="27" t="s">
        <v>15</v>
      </c>
    </row>
    <row r="125">
      <c r="A125" s="26" t="s">
        <v>489</v>
      </c>
      <c r="B125" s="27" t="s">
        <v>15</v>
      </c>
    </row>
    <row r="126">
      <c r="A126" s="26" t="s">
        <v>490</v>
      </c>
      <c r="B126" s="27" t="s">
        <v>15</v>
      </c>
    </row>
    <row r="127">
      <c r="A127" s="26" t="s">
        <v>491</v>
      </c>
      <c r="B127" s="27" t="s">
        <v>15</v>
      </c>
    </row>
    <row r="128">
      <c r="A128" s="26" t="s">
        <v>492</v>
      </c>
      <c r="B128" s="27" t="s">
        <v>15</v>
      </c>
    </row>
    <row r="129">
      <c r="A129" s="26" t="s">
        <v>493</v>
      </c>
      <c r="B129" s="27" t="s">
        <v>15</v>
      </c>
    </row>
    <row r="130">
      <c r="A130" s="26" t="s">
        <v>494</v>
      </c>
      <c r="B130" s="27" t="s">
        <v>15</v>
      </c>
    </row>
    <row r="131">
      <c r="A131" s="26" t="s">
        <v>495</v>
      </c>
      <c r="B131" s="27" t="s">
        <v>15</v>
      </c>
    </row>
    <row r="132">
      <c r="A132" s="26" t="s">
        <v>496</v>
      </c>
      <c r="B132" s="27" t="s">
        <v>15</v>
      </c>
    </row>
    <row r="133">
      <c r="A133" s="26" t="s">
        <v>497</v>
      </c>
      <c r="B133" s="27" t="s">
        <v>15</v>
      </c>
    </row>
    <row r="134">
      <c r="A134" s="26" t="s">
        <v>498</v>
      </c>
      <c r="B134" s="27" t="s">
        <v>15</v>
      </c>
    </row>
    <row r="135">
      <c r="A135" s="26" t="s">
        <v>499</v>
      </c>
      <c r="B135" s="27" t="s">
        <v>15</v>
      </c>
    </row>
    <row r="136">
      <c r="A136" s="26" t="s">
        <v>500</v>
      </c>
      <c r="B136" s="27" t="s">
        <v>15</v>
      </c>
    </row>
    <row r="137">
      <c r="A137" s="26" t="s">
        <v>501</v>
      </c>
      <c r="B137" s="27" t="s">
        <v>15</v>
      </c>
    </row>
    <row r="138">
      <c r="A138" s="1" t="s">
        <v>64</v>
      </c>
      <c r="B138" s="27" t="s">
        <v>15</v>
      </c>
    </row>
    <row r="139">
      <c r="A139" s="26" t="s">
        <v>502</v>
      </c>
      <c r="B139" s="27" t="s">
        <v>15</v>
      </c>
    </row>
    <row r="140">
      <c r="A140" s="26" t="s">
        <v>503</v>
      </c>
      <c r="B140" s="27" t="s">
        <v>15</v>
      </c>
    </row>
    <row r="141">
      <c r="A141" s="26" t="s">
        <v>504</v>
      </c>
      <c r="B141" s="27" t="s">
        <v>15</v>
      </c>
    </row>
    <row r="142">
      <c r="A142" s="1" t="s">
        <v>52</v>
      </c>
      <c r="B142" s="27" t="s">
        <v>15</v>
      </c>
    </row>
    <row r="143">
      <c r="A143" s="26" t="s">
        <v>505</v>
      </c>
      <c r="B143" s="27" t="s">
        <v>15</v>
      </c>
    </row>
    <row r="144">
      <c r="A144" s="26" t="s">
        <v>506</v>
      </c>
      <c r="B144" s="27" t="s">
        <v>15</v>
      </c>
    </row>
    <row r="145">
      <c r="A145" s="26" t="s">
        <v>507</v>
      </c>
      <c r="B145" s="27" t="s">
        <v>15</v>
      </c>
    </row>
    <row r="146">
      <c r="A146" s="26" t="s">
        <v>508</v>
      </c>
      <c r="B146" s="27" t="s">
        <v>15</v>
      </c>
    </row>
    <row r="147">
      <c r="A147" s="1" t="s">
        <v>41</v>
      </c>
      <c r="B147" s="27" t="s">
        <v>15</v>
      </c>
    </row>
    <row r="148">
      <c r="A148" s="26" t="s">
        <v>509</v>
      </c>
      <c r="B148" s="27" t="s">
        <v>15</v>
      </c>
    </row>
    <row r="149">
      <c r="A149" s="26" t="s">
        <v>510</v>
      </c>
      <c r="B149" s="27" t="s">
        <v>15</v>
      </c>
    </row>
    <row r="150">
      <c r="A150" s="26" t="s">
        <v>511</v>
      </c>
      <c r="B150" s="27" t="s">
        <v>15</v>
      </c>
    </row>
    <row r="151">
      <c r="A151" s="26" t="s">
        <v>512</v>
      </c>
      <c r="B151" s="27" t="s">
        <v>15</v>
      </c>
    </row>
    <row r="152">
      <c r="A152" s="26" t="s">
        <v>513</v>
      </c>
      <c r="B152" s="27" t="s">
        <v>15</v>
      </c>
    </row>
    <row r="153">
      <c r="A153" s="26" t="s">
        <v>514</v>
      </c>
      <c r="B153" s="27" t="s">
        <v>15</v>
      </c>
      <c r="C153" s="27"/>
    </row>
    <row r="154">
      <c r="A154" s="26" t="s">
        <v>515</v>
      </c>
      <c r="B154" s="27" t="s">
        <v>15</v>
      </c>
    </row>
    <row r="155">
      <c r="A155" s="26" t="s">
        <v>516</v>
      </c>
      <c r="B155" s="27" t="s">
        <v>15</v>
      </c>
    </row>
    <row r="156">
      <c r="A156" s="26" t="s">
        <v>517</v>
      </c>
      <c r="B156" s="27" t="s">
        <v>15</v>
      </c>
    </row>
    <row r="157">
      <c r="A157" s="26" t="s">
        <v>518</v>
      </c>
      <c r="B157" s="27" t="s">
        <v>15</v>
      </c>
    </row>
    <row r="158">
      <c r="A158" s="26" t="s">
        <v>519</v>
      </c>
      <c r="B158" s="27" t="s">
        <v>15</v>
      </c>
    </row>
    <row r="159">
      <c r="A159" s="26" t="s">
        <v>520</v>
      </c>
      <c r="B159" s="27" t="s">
        <v>367</v>
      </c>
    </row>
    <row r="160">
      <c r="A160" s="26" t="s">
        <v>521</v>
      </c>
      <c r="B160" s="27" t="s">
        <v>367</v>
      </c>
    </row>
    <row r="161">
      <c r="A161" s="26" t="s">
        <v>522</v>
      </c>
      <c r="B161" s="27" t="s">
        <v>367</v>
      </c>
    </row>
    <row r="162">
      <c r="A162" s="26" t="s">
        <v>523</v>
      </c>
      <c r="B162" s="27" t="s">
        <v>367</v>
      </c>
    </row>
    <row r="163">
      <c r="A163" s="26" t="s">
        <v>524</v>
      </c>
      <c r="B163" s="27" t="s">
        <v>367</v>
      </c>
    </row>
    <row r="164">
      <c r="A164" s="26" t="s">
        <v>525</v>
      </c>
      <c r="B164" s="27" t="s">
        <v>367</v>
      </c>
    </row>
    <row r="165">
      <c r="A165" s="26" t="s">
        <v>526</v>
      </c>
      <c r="B165" s="27" t="s">
        <v>367</v>
      </c>
    </row>
    <row r="166">
      <c r="A166" s="26">
        <v>76.0</v>
      </c>
      <c r="B166" s="27" t="s">
        <v>63</v>
      </c>
    </row>
    <row r="167">
      <c r="A167" s="26" t="s">
        <v>527</v>
      </c>
      <c r="B167" s="27" t="s">
        <v>63</v>
      </c>
    </row>
    <row r="168">
      <c r="A168" s="26" t="s">
        <v>528</v>
      </c>
      <c r="B168" s="27" t="s">
        <v>63</v>
      </c>
    </row>
    <row r="169">
      <c r="A169" s="26" t="s">
        <v>529</v>
      </c>
      <c r="B169" s="27" t="s">
        <v>63</v>
      </c>
    </row>
    <row r="170">
      <c r="A170" s="26" t="s">
        <v>530</v>
      </c>
      <c r="B170" s="27" t="s">
        <v>63</v>
      </c>
    </row>
    <row r="171">
      <c r="A171" s="26" t="s">
        <v>531</v>
      </c>
      <c r="B171" s="27" t="s">
        <v>63</v>
      </c>
    </row>
    <row r="172">
      <c r="A172" s="26" t="s">
        <v>532</v>
      </c>
      <c r="B172" s="27" t="s">
        <v>63</v>
      </c>
    </row>
    <row r="173">
      <c r="A173" s="26" t="s">
        <v>533</v>
      </c>
      <c r="B173" s="27" t="s">
        <v>63</v>
      </c>
    </row>
    <row r="174">
      <c r="A174" s="26" t="s">
        <v>534</v>
      </c>
      <c r="B174" s="27" t="s">
        <v>63</v>
      </c>
    </row>
    <row r="175">
      <c r="A175" s="26" t="s">
        <v>535</v>
      </c>
      <c r="B175" s="27" t="s">
        <v>63</v>
      </c>
    </row>
    <row r="176">
      <c r="A176" s="26" t="s">
        <v>536</v>
      </c>
      <c r="B176" s="27" t="s">
        <v>63</v>
      </c>
    </row>
    <row r="177">
      <c r="A177" s="26" t="s">
        <v>537</v>
      </c>
      <c r="B177" s="27" t="s">
        <v>63</v>
      </c>
    </row>
    <row r="178">
      <c r="A178" s="26" t="s">
        <v>538</v>
      </c>
      <c r="B178" s="27" t="s">
        <v>63</v>
      </c>
    </row>
    <row r="179">
      <c r="A179" s="26" t="s">
        <v>539</v>
      </c>
      <c r="B179" s="27" t="s">
        <v>63</v>
      </c>
    </row>
    <row r="180">
      <c r="A180" s="26" t="s">
        <v>540</v>
      </c>
      <c r="B180" s="27" t="s">
        <v>63</v>
      </c>
    </row>
    <row r="181">
      <c r="A181" s="26" t="s">
        <v>541</v>
      </c>
      <c r="B181" s="27" t="s">
        <v>63</v>
      </c>
    </row>
    <row r="182">
      <c r="A182" s="26" t="s">
        <v>542</v>
      </c>
      <c r="B182" s="27" t="s">
        <v>63</v>
      </c>
    </row>
    <row r="183">
      <c r="A183" s="26" t="s">
        <v>543</v>
      </c>
      <c r="B183" s="27" t="s">
        <v>63</v>
      </c>
    </row>
    <row r="184">
      <c r="A184" s="26" t="s">
        <v>544</v>
      </c>
      <c r="B184" s="27" t="s">
        <v>63</v>
      </c>
    </row>
    <row r="185">
      <c r="A185" s="26" t="s">
        <v>545</v>
      </c>
      <c r="B185" s="27" t="s">
        <v>63</v>
      </c>
    </row>
    <row r="186">
      <c r="A186" s="26" t="s">
        <v>546</v>
      </c>
      <c r="B186" s="27" t="s">
        <v>63</v>
      </c>
    </row>
    <row r="187">
      <c r="A187" s="26" t="s">
        <v>547</v>
      </c>
      <c r="B187" s="27" t="s">
        <v>63</v>
      </c>
    </row>
    <row r="188">
      <c r="A188" s="26" t="s">
        <v>548</v>
      </c>
      <c r="B188" s="27" t="s">
        <v>63</v>
      </c>
    </row>
    <row r="189">
      <c r="A189" s="26" t="s">
        <v>549</v>
      </c>
      <c r="B189" s="27" t="s">
        <v>63</v>
      </c>
    </row>
    <row r="190">
      <c r="A190" s="26" t="s">
        <v>550</v>
      </c>
      <c r="B190" s="27" t="s">
        <v>63</v>
      </c>
    </row>
    <row r="191">
      <c r="A191" s="26" t="s">
        <v>551</v>
      </c>
      <c r="B191" s="27" t="s">
        <v>63</v>
      </c>
    </row>
    <row r="192">
      <c r="A192" s="26" t="s">
        <v>552</v>
      </c>
      <c r="B192" s="27" t="s">
        <v>63</v>
      </c>
    </row>
    <row r="193">
      <c r="A193" s="1" t="s">
        <v>553</v>
      </c>
      <c r="B193" s="27" t="s">
        <v>63</v>
      </c>
    </row>
    <row r="194">
      <c r="A194" s="26" t="s">
        <v>554</v>
      </c>
      <c r="B194" s="27" t="s">
        <v>63</v>
      </c>
    </row>
    <row r="195">
      <c r="A195" s="26" t="s">
        <v>555</v>
      </c>
      <c r="B195" s="27" t="s">
        <v>63</v>
      </c>
    </row>
    <row r="196">
      <c r="A196" s="26" t="s">
        <v>556</v>
      </c>
      <c r="B196" s="27" t="s">
        <v>63</v>
      </c>
    </row>
    <row r="197">
      <c r="A197" s="26" t="s">
        <v>557</v>
      </c>
      <c r="B197" s="27" t="s">
        <v>63</v>
      </c>
    </row>
    <row r="198">
      <c r="A198" s="26" t="s">
        <v>558</v>
      </c>
      <c r="B198" s="27" t="s">
        <v>63</v>
      </c>
    </row>
    <row r="199">
      <c r="A199" s="26" t="s">
        <v>559</v>
      </c>
      <c r="B199" s="27" t="s">
        <v>63</v>
      </c>
    </row>
    <row r="200">
      <c r="A200" s="26" t="s">
        <v>560</v>
      </c>
      <c r="B200" s="27" t="s">
        <v>63</v>
      </c>
    </row>
    <row r="201">
      <c r="A201" s="26" t="s">
        <v>561</v>
      </c>
      <c r="B201" s="27" t="s">
        <v>63</v>
      </c>
    </row>
    <row r="202">
      <c r="A202" s="26" t="s">
        <v>562</v>
      </c>
      <c r="B202" s="27" t="s">
        <v>63</v>
      </c>
    </row>
    <row r="203">
      <c r="A203" s="26" t="s">
        <v>563</v>
      </c>
      <c r="B203" s="27" t="s">
        <v>63</v>
      </c>
    </row>
    <row r="204">
      <c r="A204" s="26" t="s">
        <v>564</v>
      </c>
      <c r="B204" s="27" t="s">
        <v>63</v>
      </c>
    </row>
    <row r="205">
      <c r="A205" s="26" t="s">
        <v>565</v>
      </c>
      <c r="B205" s="27" t="s">
        <v>63</v>
      </c>
    </row>
    <row r="206">
      <c r="A206" s="26" t="s">
        <v>566</v>
      </c>
      <c r="B206" s="27" t="s">
        <v>63</v>
      </c>
    </row>
    <row r="207">
      <c r="A207" s="26" t="s">
        <v>567</v>
      </c>
      <c r="B207" s="27" t="s">
        <v>63</v>
      </c>
    </row>
    <row r="208">
      <c r="A208" s="26" t="s">
        <v>568</v>
      </c>
      <c r="B208" s="27" t="s">
        <v>63</v>
      </c>
    </row>
    <row r="209">
      <c r="A209" s="26" t="s">
        <v>569</v>
      </c>
      <c r="B209" s="27" t="s">
        <v>63</v>
      </c>
    </row>
    <row r="210">
      <c r="A210" s="26" t="s">
        <v>570</v>
      </c>
      <c r="B210" s="27" t="s">
        <v>63</v>
      </c>
    </row>
    <row r="211">
      <c r="A211" s="26" t="s">
        <v>571</v>
      </c>
      <c r="B211" s="27" t="s">
        <v>63</v>
      </c>
    </row>
    <row r="212">
      <c r="A212" s="26" t="s">
        <v>572</v>
      </c>
      <c r="B212" s="27" t="s">
        <v>63</v>
      </c>
    </row>
    <row r="213">
      <c r="A213" s="1" t="s">
        <v>573</v>
      </c>
      <c r="B213" s="27" t="s">
        <v>63</v>
      </c>
    </row>
    <row r="214">
      <c r="A214" s="26" t="s">
        <v>574</v>
      </c>
      <c r="B214" s="27" t="s">
        <v>63</v>
      </c>
    </row>
    <row r="215">
      <c r="A215" s="26" t="s">
        <v>575</v>
      </c>
      <c r="B215" s="27" t="s">
        <v>63</v>
      </c>
    </row>
    <row r="216">
      <c r="A216" s="1" t="s">
        <v>233</v>
      </c>
      <c r="B216" s="27" t="s">
        <v>63</v>
      </c>
    </row>
    <row r="217">
      <c r="A217" s="26" t="s">
        <v>176</v>
      </c>
      <c r="B217" s="27" t="s">
        <v>368</v>
      </c>
    </row>
    <row r="218">
      <c r="A218" s="26" t="s">
        <v>576</v>
      </c>
      <c r="B218" s="27" t="s">
        <v>368</v>
      </c>
    </row>
    <row r="219">
      <c r="A219" s="26" t="s">
        <v>577</v>
      </c>
      <c r="B219" s="27" t="s">
        <v>368</v>
      </c>
    </row>
    <row r="220">
      <c r="A220" s="26" t="s">
        <v>578</v>
      </c>
      <c r="B220" s="27" t="s">
        <v>368</v>
      </c>
    </row>
    <row r="221">
      <c r="A221" s="1" t="s">
        <v>579</v>
      </c>
      <c r="B221" s="27" t="s">
        <v>368</v>
      </c>
    </row>
    <row r="222">
      <c r="A222" s="1" t="s">
        <v>580</v>
      </c>
      <c r="B222" s="27" t="s">
        <v>368</v>
      </c>
    </row>
    <row r="223">
      <c r="A223" s="26" t="s">
        <v>581</v>
      </c>
      <c r="B223" s="27" t="s">
        <v>368</v>
      </c>
    </row>
    <row r="224">
      <c r="A224" s="26" t="s">
        <v>582</v>
      </c>
      <c r="B224" s="27" t="s">
        <v>368</v>
      </c>
    </row>
    <row r="225">
      <c r="A225" s="26" t="s">
        <v>583</v>
      </c>
      <c r="B225" s="27" t="s">
        <v>368</v>
      </c>
    </row>
    <row r="226">
      <c r="A226" s="26" t="s">
        <v>584</v>
      </c>
      <c r="B226" s="27" t="s">
        <v>368</v>
      </c>
    </row>
    <row r="227">
      <c r="A227" s="26" t="s">
        <v>585</v>
      </c>
      <c r="B227" s="27" t="s">
        <v>368</v>
      </c>
    </row>
    <row r="228">
      <c r="A228" s="26" t="s">
        <v>586</v>
      </c>
      <c r="B228" s="27" t="s">
        <v>368</v>
      </c>
    </row>
    <row r="229">
      <c r="A229" s="26" t="s">
        <v>587</v>
      </c>
      <c r="B229" s="27" t="s">
        <v>368</v>
      </c>
    </row>
    <row r="230">
      <c r="A230" s="26" t="s">
        <v>588</v>
      </c>
      <c r="B230" s="27" t="s">
        <v>368</v>
      </c>
    </row>
    <row r="231">
      <c r="A231" s="26" t="s">
        <v>589</v>
      </c>
      <c r="B231" s="27" t="s">
        <v>368</v>
      </c>
    </row>
    <row r="232">
      <c r="A232" s="26" t="s">
        <v>590</v>
      </c>
      <c r="B232" s="27" t="s">
        <v>368</v>
      </c>
    </row>
    <row r="233">
      <c r="A233" s="26" t="s">
        <v>591</v>
      </c>
      <c r="B233" s="27" t="s">
        <v>368</v>
      </c>
    </row>
    <row r="234">
      <c r="A234" s="26" t="s">
        <v>592</v>
      </c>
      <c r="B234" s="27" t="s">
        <v>368</v>
      </c>
    </row>
    <row r="235">
      <c r="A235" s="26" t="s">
        <v>593</v>
      </c>
      <c r="B235" s="27" t="s">
        <v>368</v>
      </c>
    </row>
    <row r="236">
      <c r="A236" s="1" t="s">
        <v>133</v>
      </c>
      <c r="B236" s="27" t="s">
        <v>368</v>
      </c>
    </row>
    <row r="237">
      <c r="A237" s="26" t="s">
        <v>594</v>
      </c>
      <c r="B237" s="27" t="s">
        <v>368</v>
      </c>
    </row>
    <row r="238">
      <c r="A238" s="26" t="s">
        <v>595</v>
      </c>
      <c r="B238" s="27" t="s">
        <v>368</v>
      </c>
    </row>
    <row r="239">
      <c r="A239" s="1" t="s">
        <v>596</v>
      </c>
      <c r="B239" s="27" t="s">
        <v>368</v>
      </c>
    </row>
    <row r="240">
      <c r="A240" s="1" t="s">
        <v>245</v>
      </c>
      <c r="B240" s="27" t="s">
        <v>368</v>
      </c>
    </row>
    <row r="241">
      <c r="A241" s="26" t="s">
        <v>597</v>
      </c>
      <c r="B241" s="27" t="s">
        <v>368</v>
      </c>
    </row>
    <row r="242">
      <c r="A242" s="26" t="s">
        <v>598</v>
      </c>
      <c r="B242" s="27" t="s">
        <v>368</v>
      </c>
    </row>
    <row r="243">
      <c r="A243" s="26" t="s">
        <v>599</v>
      </c>
      <c r="B243" s="27" t="s">
        <v>368</v>
      </c>
    </row>
    <row r="244">
      <c r="A244" s="26" t="s">
        <v>600</v>
      </c>
      <c r="B244" s="27" t="s">
        <v>368</v>
      </c>
    </row>
    <row r="245">
      <c r="A245" s="28" t="s">
        <v>601</v>
      </c>
      <c r="B245" s="27" t="s">
        <v>368</v>
      </c>
    </row>
    <row r="246">
      <c r="A246" s="26" t="s">
        <v>602</v>
      </c>
      <c r="B246" s="27" t="s">
        <v>368</v>
      </c>
    </row>
    <row r="247">
      <c r="A247" s="1" t="s">
        <v>231</v>
      </c>
      <c r="B247" s="27" t="s">
        <v>368</v>
      </c>
    </row>
    <row r="248">
      <c r="A248" s="26" t="s">
        <v>603</v>
      </c>
      <c r="B248" s="27" t="s">
        <v>368</v>
      </c>
    </row>
    <row r="249">
      <c r="A249" s="26" t="s">
        <v>604</v>
      </c>
      <c r="B249" s="27" t="s">
        <v>368</v>
      </c>
    </row>
    <row r="250">
      <c r="A250" s="26" t="s">
        <v>605</v>
      </c>
      <c r="B250" s="27" t="s">
        <v>368</v>
      </c>
    </row>
    <row r="251">
      <c r="A251" s="26" t="s">
        <v>606</v>
      </c>
      <c r="B251" s="27" t="s">
        <v>368</v>
      </c>
    </row>
    <row r="252">
      <c r="A252" s="26" t="s">
        <v>607</v>
      </c>
      <c r="B252" s="27" t="s">
        <v>368</v>
      </c>
    </row>
    <row r="253">
      <c r="A253" s="26" t="s">
        <v>608</v>
      </c>
      <c r="B253" s="27" t="s">
        <v>368</v>
      </c>
    </row>
    <row r="254">
      <c r="A254" s="26" t="s">
        <v>609</v>
      </c>
      <c r="B254" s="27" t="s">
        <v>368</v>
      </c>
    </row>
    <row r="255">
      <c r="A255" s="1" t="s">
        <v>117</v>
      </c>
      <c r="B255" s="27" t="s">
        <v>368</v>
      </c>
    </row>
    <row r="256">
      <c r="A256" s="26" t="s">
        <v>610</v>
      </c>
      <c r="B256" s="27" t="s">
        <v>369</v>
      </c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</sheetData>
  <autoFilter ref="$A$1:$B$998">
    <sortState ref="A1:B998">
      <sortCondition ref="B1:B998"/>
      <sortCondition ref="A1:A998"/>
    </sortState>
  </autoFilter>
  <dataValidations>
    <dataValidation type="list" allowBlank="1" showErrorMessage="1" sqref="B2:B256">
      <formula1>"Groceries,Dining Out,Transportation,Subscriptions,Travel,Bills,Entertainment,Shopping,Withdrawal,Other"</formula1>
    </dataValidation>
  </dataValidations>
  <hyperlinks>
    <hyperlink r:id="rId1" ref="A24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33.25"/>
  </cols>
  <sheetData>
    <row r="1">
      <c r="A1" s="27" t="s">
        <v>5</v>
      </c>
      <c r="B1" s="27" t="s">
        <v>611</v>
      </c>
      <c r="C1" s="27" t="s">
        <v>612</v>
      </c>
    </row>
    <row r="2">
      <c r="A2" s="27" t="s">
        <v>50</v>
      </c>
      <c r="B2" s="27" t="s">
        <v>613</v>
      </c>
      <c r="C2" s="15">
        <f>400</f>
        <v>400</v>
      </c>
    </row>
    <row r="3">
      <c r="A3" s="27" t="s">
        <v>17</v>
      </c>
      <c r="B3" s="27" t="s">
        <v>614</v>
      </c>
      <c r="C3" s="15">
        <f>300</f>
        <v>300</v>
      </c>
    </row>
    <row r="4">
      <c r="A4" s="27" t="s">
        <v>63</v>
      </c>
      <c r="B4" s="27" t="s">
        <v>615</v>
      </c>
      <c r="C4" s="15">
        <f>346.6+100+58+200</f>
        <v>704.6</v>
      </c>
    </row>
    <row r="5">
      <c r="A5" s="27" t="s">
        <v>367</v>
      </c>
      <c r="B5" s="27" t="s">
        <v>616</v>
      </c>
      <c r="C5" s="15">
        <f>30</f>
        <v>30</v>
      </c>
    </row>
    <row r="6">
      <c r="A6" s="27" t="s">
        <v>368</v>
      </c>
      <c r="B6" s="27" t="s">
        <v>617</v>
      </c>
      <c r="C6" s="15">
        <f>0</f>
        <v>0</v>
      </c>
    </row>
    <row r="7">
      <c r="A7" s="27" t="s">
        <v>366</v>
      </c>
      <c r="B7" s="27" t="s">
        <v>618</v>
      </c>
      <c r="C7" s="15">
        <f>595+25+30+60+7.75</f>
        <v>717.75</v>
      </c>
    </row>
    <row r="8">
      <c r="A8" s="27" t="s">
        <v>40</v>
      </c>
      <c r="B8" s="27" t="s">
        <v>619</v>
      </c>
      <c r="C8" s="15">
        <f>200</f>
        <v>200</v>
      </c>
    </row>
    <row r="9">
      <c r="A9" s="27" t="s">
        <v>15</v>
      </c>
      <c r="B9" s="27" t="s">
        <v>620</v>
      </c>
      <c r="C9" s="15">
        <f>100</f>
        <v>100</v>
      </c>
    </row>
    <row r="10">
      <c r="A10" s="27" t="s">
        <v>621</v>
      </c>
      <c r="B10" s="27" t="s">
        <v>622</v>
      </c>
      <c r="C10" s="27" t="s">
        <v>623</v>
      </c>
    </row>
    <row r="11">
      <c r="A11" s="27" t="s">
        <v>28</v>
      </c>
      <c r="B11" s="27" t="s">
        <v>624</v>
      </c>
      <c r="C11" s="27">
        <f>100</f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